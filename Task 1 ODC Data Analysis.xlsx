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ata Anakysis ODC\Data Analysis - Task 1\Data Analysis - Task 1\"/>
    </mc:Choice>
  </mc:AlternateContent>
  <xr:revisionPtr revIDLastSave="0" documentId="13_ncr:1_{3088FC39-8323-42A3-BD8D-4C1E74580420}" xr6:coauthVersionLast="47" xr6:coauthVersionMax="47" xr10:uidLastSave="{00000000-0000-0000-0000-000000000000}"/>
  <bookViews>
    <workbookView xWindow="-108" yWindow="-108" windowWidth="23256" windowHeight="12456" xr2:uid="{DCFEBE0A-A786-4D20-9F0F-FC3E837D847C}"/>
  </bookViews>
  <sheets>
    <sheet name="Dashboard" sheetId="2" r:id="rId1"/>
    <sheet name="Calculations" sheetId="3" r:id="rId2"/>
  </sheets>
  <definedNames>
    <definedName name="Slicer_Country">#N/A</definedName>
    <definedName name="Slicer_Department">#N/A</definedName>
  </definedNames>
  <calcPr calcId="191029"/>
  <pivotCaches>
    <pivotCache cacheId="0" r:id="rId3"/>
    <pivotCache cacheId="44" r:id="rId4"/>
    <pivotCache cacheId="47" r:id="rId5"/>
    <pivotCache cacheId="50" r:id="rId6"/>
    <pivotCache cacheId="53"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_7c2dcc92-707a-4e3f-b043-4c4454c94108" name="EmpTable" connection="Query - EmpTable"/>
          <x15:modelTable id="Employees_ac86ad1d-ca65-484f-a607-4ffb03adfa53" name="Employees" connection="Query - Employees"/>
          <x15:modelTable id="Sheet1_906e207f-1c97-482a-83f5-9e2efcae6d78"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0" i="3" l="1"/>
  <c r="H24" i="3"/>
  <c r="F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BBEFA0-FB82-470D-A762-7C5E208B8FFD}" name="Query - Employees" description="Connection to the 'Employees' query in the workbook." type="100" refreshedVersion="8" minRefreshableVersion="5">
    <extLst>
      <ext xmlns:x15="http://schemas.microsoft.com/office/spreadsheetml/2010/11/main" uri="{DE250136-89BD-433C-8126-D09CA5730AF9}">
        <x15:connection id="fcf2a6f7-973f-436c-bcb0-4a7af8d2b494"/>
      </ext>
    </extLst>
  </connection>
  <connection id="2" xr16:uid="{5A1D3514-CC3E-400F-A456-DC116B169A76}" name="Query - EmpTable" description="Connection to the 'EmpTable' query in the workbook." type="100" refreshedVersion="8" minRefreshableVersion="5">
    <extLst>
      <ext xmlns:x15="http://schemas.microsoft.com/office/spreadsheetml/2010/11/main" uri="{DE250136-89BD-433C-8126-D09CA5730AF9}">
        <x15:connection id="8dfc3aac-f591-4129-8c22-1dae19e12c40"/>
      </ext>
    </extLst>
  </connection>
  <connection id="3" xr16:uid="{0E017BB9-CA4E-4ABF-B6C7-622A3338EB26}" name="Query - Sheet1" description="Connection to the 'Sheet1' query in the workbook." type="100" refreshedVersion="8" minRefreshableVersion="5">
    <extLst>
      <ext xmlns:x15="http://schemas.microsoft.com/office/spreadsheetml/2010/11/main" uri="{DE250136-89BD-433C-8126-D09CA5730AF9}">
        <x15:connection id="4cb12572-c0b7-49c6-a477-f96630b6002f"/>
      </ext>
    </extLst>
  </connection>
  <connection id="4" xr16:uid="{03B1B772-1AF4-41D7-9451-32323DEBC8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<sst xmlns="http://schemas.openxmlformats.org/spreadsheetml/2006/main" count="68" uniqueCount="33">
  <si>
    <t>Row Labels</t>
  </si>
  <si>
    <t>Account Management</t>
  </si>
  <si>
    <t>Creative</t>
  </si>
  <si>
    <t>Environmental Compliance</t>
  </si>
  <si>
    <t>Environmental Health/Safety</t>
  </si>
  <si>
    <t>Facilities/Engineering</t>
  </si>
  <si>
    <t>Green Building</t>
  </si>
  <si>
    <t>Human Resources</t>
  </si>
  <si>
    <t>IT</t>
  </si>
  <si>
    <t>Major Mfg Projects</t>
  </si>
  <si>
    <t>Manufacturing</t>
  </si>
  <si>
    <t>Manufacturing Admin</t>
  </si>
  <si>
    <t>Marketing</t>
  </si>
  <si>
    <t>Product Development</t>
  </si>
  <si>
    <t>Professional Training Group</t>
  </si>
  <si>
    <t>Quality Assurance</t>
  </si>
  <si>
    <t>Quality Control</t>
  </si>
  <si>
    <t>Research Center</t>
  </si>
  <si>
    <t>Research/Development</t>
  </si>
  <si>
    <t>Sales</t>
  </si>
  <si>
    <t>Training</t>
  </si>
  <si>
    <t>Grand Total</t>
  </si>
  <si>
    <t>Total Annual Salary</t>
  </si>
  <si>
    <t>Average Job Rate</t>
  </si>
  <si>
    <t>Egypt</t>
  </si>
  <si>
    <t>Lebanon</t>
  </si>
  <si>
    <t>Saudi Arabia</t>
  </si>
  <si>
    <t>Syria</t>
  </si>
  <si>
    <t>United Arab Emirates</t>
  </si>
  <si>
    <t>Total Overtime Hours</t>
  </si>
  <si>
    <t>Total Sick Leaves</t>
  </si>
  <si>
    <t>Total Unpaid Leaves</t>
  </si>
  <si>
    <t>Total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</si>
</sst>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0"/>
    <numFmt numFmtId="165"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3" fontId="0" fillId="0" borderId="0" xfId="0" applyNumberFormat="1"/>
    <xf numFmtId="43" fontId="0" fillId="0" borderId="0" xfId="1" applyFont="1"/>
  </cellXfs>
  <cellStyles count="2">
    <cellStyle name="Comma" xfId="1" builtinId="3"/>
    <cellStyle name="Normal" xfId="0" builtinId="0"/>
  </cellStyles>
  <dxfs count="4">
    <dxf>
      <font>
        <b/>
        <color theme="1"/>
      </font>
      <border>
        <bottom style="thin">
          <color theme="4"/>
        </bottom>
        <vertical/>
        <horizontal/>
      </border>
    </dxf>
    <dxf>
      <font>
        <color theme="0"/>
      </font>
      <fill>
        <patternFill patternType="solid">
          <bgColor theme="4"/>
        </patternFill>
      </fill>
      <border diagonalUp="0" diagonalDown="0">
        <left/>
        <right/>
        <top/>
        <bottom/>
        <vertical/>
        <horizontal/>
      </border>
    </dxf>
    <dxf>
      <font>
        <b/>
        <i val="0"/>
        <color theme="0"/>
      </font>
      <border>
        <bottom style="thin">
          <color theme="4"/>
        </bottom>
        <vertical/>
        <horizontal/>
      </border>
    </dxf>
    <dxf>
      <font>
        <color theme="0"/>
      </font>
      <fill>
        <patternFill patternType="solid">
          <bgColor rgb="FF156082"/>
        </patternFill>
      </fill>
      <border diagonalUp="0" diagonalDown="0">
        <left/>
        <right/>
        <top/>
        <bottom/>
        <vertical/>
        <horizontal/>
      </border>
    </dxf>
  </dxfs>
  <tableStyles count="2" defaultTableStyle="TableStyleMedium2" defaultPivotStyle="PivotStyleLight16">
    <tableStyle name="my logo slicer" pivot="0" table="0" count="10" xr9:uid="{995EF2DA-0A66-42B4-A018-4E2BA90DAAD3}">
      <tableStyleElement type="wholeTable" dxfId="3"/>
      <tableStyleElement type="headerRow" dxfId="2"/>
    </tableStyle>
    <tableStyle name="SlicerStyleDark1 2" pivot="0" table="0" count="10" xr9:uid="{6EDD7A4F-C96A-4C7F-BE6B-873DD7619656}">
      <tableStyleElement type="wholeTable" dxfId="1"/>
      <tableStyleElement type="headerRow" dxfId="0"/>
    </tableStyle>
  </tableStyles>
  <colors>
    <mruColors>
      <color rgb="FF268791"/>
      <color rgb="FF156082"/>
      <color rgb="FF073559"/>
      <color rgb="FFDAB255"/>
      <color rgb="FF21848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4"/>
          </font>
          <fill>
            <patternFill patternType="solid">
              <fgColor theme="4"/>
              <bgColor rgb="FFDAB255"/>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DAB255"/>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logo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pivotCacheDefinition" Target="pivotCache/pivotCacheDefinition1.xml"/><Relationship Id="rId21" Type="http://schemas.openxmlformats.org/officeDocument/2006/relationships/customXml" Target="../customXml/item5.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8.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 ODC Data Analysis.xlsx]Calculations!PivotTable2</c:name>
    <c:fmtId val="3"/>
  </c:pivotSource>
  <c:chart>
    <c:title>
      <c:tx>
        <c:rich>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r>
              <a:rPr lang="en-US" sz="1800" b="1" i="0" u="none" strike="noStrike" baseline="0"/>
              <a:t>Leave &amp; Overtime Analysis</a:t>
            </a: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AB255"/>
          </a:solidFill>
          <a:ln>
            <a:solidFill>
              <a:srgbClr val="DAB25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184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Calculations!$H$13</c:f>
              <c:strCache>
                <c:ptCount val="1"/>
                <c:pt idx="0">
                  <c:v>Total Sick Leaves</c:v>
                </c:pt>
              </c:strCache>
            </c:strRef>
          </c:tx>
          <c:spPr>
            <a:solidFill>
              <a:srgbClr val="DAB255"/>
            </a:solidFill>
            <a:ln>
              <a:solidFill>
                <a:srgbClr val="DAB255"/>
              </a:solidFill>
            </a:ln>
            <a:effectLst/>
          </c:spPr>
          <c:invertIfNegative val="0"/>
          <c:cat>
            <c:strRef>
              <c:f>Calculations!$F$14:$F$19</c:f>
              <c:strCache>
                <c:ptCount val="5"/>
                <c:pt idx="0">
                  <c:v>Egypt</c:v>
                </c:pt>
                <c:pt idx="1">
                  <c:v>Lebanon</c:v>
                </c:pt>
                <c:pt idx="2">
                  <c:v>Saudi Arabia</c:v>
                </c:pt>
                <c:pt idx="3">
                  <c:v>Syria</c:v>
                </c:pt>
                <c:pt idx="4">
                  <c:v>United Arab Emirates</c:v>
                </c:pt>
              </c:strCache>
            </c:strRef>
          </c:cat>
          <c:val>
            <c:numRef>
              <c:f>Calculations!$H$14:$H$19</c:f>
              <c:numCache>
                <c:formatCode>0</c:formatCode>
                <c:ptCount val="5"/>
                <c:pt idx="0">
                  <c:v>615</c:v>
                </c:pt>
                <c:pt idx="1">
                  <c:v>11</c:v>
                </c:pt>
                <c:pt idx="2">
                  <c:v>128</c:v>
                </c:pt>
                <c:pt idx="3">
                  <c:v>113</c:v>
                </c:pt>
                <c:pt idx="4">
                  <c:v>242</c:v>
                </c:pt>
              </c:numCache>
            </c:numRef>
          </c:val>
          <c:extLst>
            <c:ext xmlns:c16="http://schemas.microsoft.com/office/drawing/2014/chart" uri="{C3380CC4-5D6E-409C-BE32-E72D297353CC}">
              <c16:uniqueId val="{00000004-7CAA-499A-9395-DB53816B4C93}"/>
            </c:ext>
          </c:extLst>
        </c:ser>
        <c:ser>
          <c:idx val="2"/>
          <c:order val="2"/>
          <c:tx>
            <c:strRef>
              <c:f>Calculations!$I$13</c:f>
              <c:strCache>
                <c:ptCount val="1"/>
                <c:pt idx="0">
                  <c:v>Total Unpaid Leaves</c:v>
                </c:pt>
              </c:strCache>
            </c:strRef>
          </c:tx>
          <c:spPr>
            <a:solidFill>
              <a:srgbClr val="21848C"/>
            </a:solidFill>
            <a:ln>
              <a:noFill/>
            </a:ln>
            <a:effectLst/>
          </c:spPr>
          <c:invertIfNegative val="0"/>
          <c:cat>
            <c:strRef>
              <c:f>Calculations!$F$14:$F$19</c:f>
              <c:strCache>
                <c:ptCount val="5"/>
                <c:pt idx="0">
                  <c:v>Egypt</c:v>
                </c:pt>
                <c:pt idx="1">
                  <c:v>Lebanon</c:v>
                </c:pt>
                <c:pt idx="2">
                  <c:v>Saudi Arabia</c:v>
                </c:pt>
                <c:pt idx="3">
                  <c:v>Syria</c:v>
                </c:pt>
                <c:pt idx="4">
                  <c:v>United Arab Emirates</c:v>
                </c:pt>
              </c:strCache>
            </c:strRef>
          </c:cat>
          <c:val>
            <c:numRef>
              <c:f>Calculations!$I$14:$I$19</c:f>
              <c:numCache>
                <c:formatCode>0</c:formatCode>
                <c:ptCount val="5"/>
                <c:pt idx="0">
                  <c:v>293</c:v>
                </c:pt>
                <c:pt idx="1">
                  <c:v>16</c:v>
                </c:pt>
                <c:pt idx="2">
                  <c:v>63</c:v>
                </c:pt>
                <c:pt idx="3">
                  <c:v>21</c:v>
                </c:pt>
                <c:pt idx="4">
                  <c:v>130</c:v>
                </c:pt>
              </c:numCache>
            </c:numRef>
          </c:val>
          <c:extLst>
            <c:ext xmlns:c16="http://schemas.microsoft.com/office/drawing/2014/chart" uri="{C3380CC4-5D6E-409C-BE32-E72D297353CC}">
              <c16:uniqueId val="{00000005-7CAA-499A-9395-DB53816B4C93}"/>
            </c:ext>
          </c:extLst>
        </c:ser>
        <c:dLbls>
          <c:showLegendKey val="0"/>
          <c:showVal val="0"/>
          <c:showCatName val="0"/>
          <c:showSerName val="0"/>
          <c:showPercent val="0"/>
          <c:showBubbleSize val="0"/>
        </c:dLbls>
        <c:gapWidth val="219"/>
        <c:axId val="82321119"/>
        <c:axId val="82314879"/>
      </c:barChart>
      <c:lineChart>
        <c:grouping val="standard"/>
        <c:varyColors val="0"/>
        <c:ser>
          <c:idx val="0"/>
          <c:order val="0"/>
          <c:tx>
            <c:strRef>
              <c:f>Calculations!$G$13</c:f>
              <c:strCache>
                <c:ptCount val="1"/>
                <c:pt idx="0">
                  <c:v>Total Overtime Hours</c:v>
                </c:pt>
              </c:strCache>
            </c:strRef>
          </c:tx>
          <c:spPr>
            <a:ln w="28575" cap="rnd">
              <a:solidFill>
                <a:schemeClr val="accent1"/>
              </a:solidFill>
              <a:round/>
            </a:ln>
            <a:effectLst/>
          </c:spPr>
          <c:marker>
            <c:symbol val="none"/>
          </c:marker>
          <c:cat>
            <c:strRef>
              <c:f>Calculations!$F$14:$F$19</c:f>
              <c:strCache>
                <c:ptCount val="5"/>
                <c:pt idx="0">
                  <c:v>Egypt</c:v>
                </c:pt>
                <c:pt idx="1">
                  <c:v>Lebanon</c:v>
                </c:pt>
                <c:pt idx="2">
                  <c:v>Saudi Arabia</c:v>
                </c:pt>
                <c:pt idx="3">
                  <c:v>Syria</c:v>
                </c:pt>
                <c:pt idx="4">
                  <c:v>United Arab Emirates</c:v>
                </c:pt>
              </c:strCache>
            </c:strRef>
          </c:cat>
          <c:val>
            <c:numRef>
              <c:f>Calculations!$G$14:$G$19</c:f>
              <c:numCache>
                <c:formatCode>0</c:formatCode>
                <c:ptCount val="5"/>
                <c:pt idx="0">
                  <c:v>5662</c:v>
                </c:pt>
                <c:pt idx="1">
                  <c:v>171</c:v>
                </c:pt>
                <c:pt idx="2">
                  <c:v>1732</c:v>
                </c:pt>
                <c:pt idx="3">
                  <c:v>496</c:v>
                </c:pt>
                <c:pt idx="4">
                  <c:v>1380</c:v>
                </c:pt>
              </c:numCache>
            </c:numRef>
          </c:val>
          <c:smooth val="0"/>
          <c:extLst>
            <c:ext xmlns:c16="http://schemas.microsoft.com/office/drawing/2014/chart" uri="{C3380CC4-5D6E-409C-BE32-E72D297353CC}">
              <c16:uniqueId val="{00000003-7CAA-499A-9395-DB53816B4C93}"/>
            </c:ext>
          </c:extLst>
        </c:ser>
        <c:dLbls>
          <c:showLegendKey val="0"/>
          <c:showVal val="0"/>
          <c:showCatName val="0"/>
          <c:showSerName val="0"/>
          <c:showPercent val="0"/>
          <c:showBubbleSize val="0"/>
        </c:dLbls>
        <c:marker val="1"/>
        <c:smooth val="0"/>
        <c:axId val="655984624"/>
        <c:axId val="655983664"/>
      </c:lineChart>
      <c:catAx>
        <c:axId val="8232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82314879"/>
        <c:crosses val="autoZero"/>
        <c:auto val="1"/>
        <c:lblAlgn val="ctr"/>
        <c:lblOffset val="100"/>
        <c:noMultiLvlLbl val="0"/>
      </c:catAx>
      <c:valAx>
        <c:axId val="823148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82321119"/>
        <c:crosses val="autoZero"/>
        <c:crossBetween val="between"/>
      </c:valAx>
      <c:valAx>
        <c:axId val="6559836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655984624"/>
        <c:crosses val="max"/>
        <c:crossBetween val="between"/>
      </c:valAx>
      <c:catAx>
        <c:axId val="655984624"/>
        <c:scaling>
          <c:orientation val="minMax"/>
        </c:scaling>
        <c:delete val="1"/>
        <c:axPos val="b"/>
        <c:numFmt formatCode="General" sourceLinked="1"/>
        <c:majorTickMark val="out"/>
        <c:minorTickMark val="none"/>
        <c:tickLblPos val="nextTo"/>
        <c:crossAx val="6559836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255"/>
    </a:solidFill>
    <a:ln w="9525" cap="flat" cmpd="sng" algn="ctr">
      <a:solidFill>
        <a:schemeClr val="tx1">
          <a:lumMod val="15000"/>
          <a:lumOff val="85000"/>
        </a:schemeClr>
      </a:solidFill>
      <a:round/>
    </a:ln>
    <a:effectLst/>
  </c:spPr>
  <c:txPr>
    <a:bodyPr/>
    <a:lstStyle/>
    <a:p>
      <a:pPr>
        <a:defRPr sz="1050" b="1">
          <a:solidFill>
            <a:srgbClr val="07355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 ODC Data Analysis.xlsx]Calculations!PivotTable1</c:name>
    <c:fmtId val="3"/>
  </c:pivotSource>
  <c:chart>
    <c:title>
      <c:tx>
        <c:rich>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r>
              <a:rPr lang="en-US" sz="1800" b="1" i="0" u="none" strike="noStrike" baseline="0"/>
              <a:t>Payroll &amp; Performance Overview</a:t>
            </a: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26879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c:f>
              <c:strCache>
                <c:ptCount val="1"/>
                <c:pt idx="0">
                  <c:v>Total Annual Salary</c:v>
                </c:pt>
              </c:strCache>
            </c:strRef>
          </c:tx>
          <c:spPr>
            <a:solidFill>
              <a:srgbClr val="156082"/>
            </a:solidFill>
            <a:ln>
              <a:noFill/>
            </a:ln>
            <a:effectLst/>
          </c:spPr>
          <c:invertIfNegative val="0"/>
          <c:cat>
            <c:strRef>
              <c:f>Calculations!$A$2:$A$22</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Calculations!$B$2:$B$22</c:f>
              <c:numCache>
                <c:formatCode>\$#,##0;\(\$#,##0\);\$#,##0</c:formatCode>
                <c:ptCount val="20"/>
                <c:pt idx="0">
                  <c:v>1952664</c:v>
                </c:pt>
                <c:pt idx="1">
                  <c:v>458580</c:v>
                </c:pt>
                <c:pt idx="2">
                  <c:v>391272</c:v>
                </c:pt>
                <c:pt idx="3">
                  <c:v>216048</c:v>
                </c:pt>
                <c:pt idx="4">
                  <c:v>1590552</c:v>
                </c:pt>
                <c:pt idx="5">
                  <c:v>199956</c:v>
                </c:pt>
                <c:pt idx="6">
                  <c:v>214692</c:v>
                </c:pt>
                <c:pt idx="7">
                  <c:v>1014972</c:v>
                </c:pt>
                <c:pt idx="8">
                  <c:v>215268</c:v>
                </c:pt>
                <c:pt idx="9">
                  <c:v>3367788</c:v>
                </c:pt>
                <c:pt idx="10">
                  <c:v>115260</c:v>
                </c:pt>
                <c:pt idx="11">
                  <c:v>1187208</c:v>
                </c:pt>
                <c:pt idx="12">
                  <c:v>801600</c:v>
                </c:pt>
                <c:pt idx="13">
                  <c:v>342792</c:v>
                </c:pt>
                <c:pt idx="14">
                  <c:v>1675476</c:v>
                </c:pt>
                <c:pt idx="15">
                  <c:v>2193624</c:v>
                </c:pt>
                <c:pt idx="16">
                  <c:v>113220</c:v>
                </c:pt>
                <c:pt idx="17">
                  <c:v>125916</c:v>
                </c:pt>
                <c:pt idx="18">
                  <c:v>469548</c:v>
                </c:pt>
                <c:pt idx="19">
                  <c:v>453456</c:v>
                </c:pt>
              </c:numCache>
            </c:numRef>
          </c:val>
          <c:extLst>
            <c:ext xmlns:c16="http://schemas.microsoft.com/office/drawing/2014/chart" uri="{C3380CC4-5D6E-409C-BE32-E72D297353CC}">
              <c16:uniqueId val="{00000002-D00B-4542-B9C8-FB0EC4849854}"/>
            </c:ext>
          </c:extLst>
        </c:ser>
        <c:dLbls>
          <c:showLegendKey val="0"/>
          <c:showVal val="0"/>
          <c:showCatName val="0"/>
          <c:showSerName val="0"/>
          <c:showPercent val="0"/>
          <c:showBubbleSize val="0"/>
        </c:dLbls>
        <c:gapWidth val="50"/>
        <c:axId val="1225651791"/>
        <c:axId val="1225647951"/>
      </c:barChart>
      <c:lineChart>
        <c:grouping val="standard"/>
        <c:varyColors val="0"/>
        <c:ser>
          <c:idx val="1"/>
          <c:order val="1"/>
          <c:tx>
            <c:strRef>
              <c:f>Calculations!$C$1</c:f>
              <c:strCache>
                <c:ptCount val="1"/>
                <c:pt idx="0">
                  <c:v>Average Job Rate</c:v>
                </c:pt>
              </c:strCache>
            </c:strRef>
          </c:tx>
          <c:spPr>
            <a:ln w="28575" cap="rnd">
              <a:solidFill>
                <a:srgbClr val="268791"/>
              </a:solidFill>
              <a:round/>
            </a:ln>
            <a:effectLst/>
          </c:spPr>
          <c:marker>
            <c:symbol val="none"/>
          </c:marker>
          <c:cat>
            <c:strRef>
              <c:f>Calculations!$A$2:$A$22</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Calculations!$C$2:$C$22</c:f>
              <c:numCache>
                <c:formatCode>0.0</c:formatCode>
                <c:ptCount val="20"/>
                <c:pt idx="0">
                  <c:v>3.6904761904761907</c:v>
                </c:pt>
                <c:pt idx="1">
                  <c:v>3.7894736842105261</c:v>
                </c:pt>
                <c:pt idx="2">
                  <c:v>3.0769230769230771</c:v>
                </c:pt>
                <c:pt idx="3">
                  <c:v>4.2222222222222223</c:v>
                </c:pt>
                <c:pt idx="4">
                  <c:v>3.6206896551724137</c:v>
                </c:pt>
                <c:pt idx="5">
                  <c:v>2.875</c:v>
                </c:pt>
                <c:pt idx="6">
                  <c:v>4.3571428571428568</c:v>
                </c:pt>
                <c:pt idx="7">
                  <c:v>3.6</c:v>
                </c:pt>
                <c:pt idx="8">
                  <c:v>4.25</c:v>
                </c:pt>
                <c:pt idx="9">
                  <c:v>3.5357142857142856</c:v>
                </c:pt>
                <c:pt idx="10">
                  <c:v>4.0999999999999996</c:v>
                </c:pt>
                <c:pt idx="11">
                  <c:v>3.4270833333333335</c:v>
                </c:pt>
                <c:pt idx="12">
                  <c:v>3.4852941176470589</c:v>
                </c:pt>
                <c:pt idx="13">
                  <c:v>3.7857142857142856</c:v>
                </c:pt>
                <c:pt idx="14">
                  <c:v>3.5746268656716418</c:v>
                </c:pt>
                <c:pt idx="15">
                  <c:v>3.7640449438202248</c:v>
                </c:pt>
                <c:pt idx="16">
                  <c:v>3.3</c:v>
                </c:pt>
                <c:pt idx="17">
                  <c:v>3</c:v>
                </c:pt>
                <c:pt idx="18">
                  <c:v>3.2749999999999999</c:v>
                </c:pt>
                <c:pt idx="19">
                  <c:v>2.90625</c:v>
                </c:pt>
              </c:numCache>
            </c:numRef>
          </c:val>
          <c:smooth val="0"/>
          <c:extLst>
            <c:ext xmlns:c16="http://schemas.microsoft.com/office/drawing/2014/chart" uri="{C3380CC4-5D6E-409C-BE32-E72D297353CC}">
              <c16:uniqueId val="{00000003-D00B-4542-B9C8-FB0EC4849854}"/>
            </c:ext>
          </c:extLst>
        </c:ser>
        <c:dLbls>
          <c:showLegendKey val="0"/>
          <c:showVal val="0"/>
          <c:showCatName val="0"/>
          <c:showSerName val="0"/>
          <c:showPercent val="0"/>
          <c:showBubbleSize val="0"/>
        </c:dLbls>
        <c:marker val="1"/>
        <c:smooth val="0"/>
        <c:axId val="721498752"/>
        <c:axId val="721501632"/>
      </c:lineChart>
      <c:catAx>
        <c:axId val="122565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1225647951"/>
        <c:crosses val="autoZero"/>
        <c:auto val="1"/>
        <c:lblAlgn val="ctr"/>
        <c:lblOffset val="100"/>
        <c:noMultiLvlLbl val="0"/>
      </c:catAx>
      <c:valAx>
        <c:axId val="12256479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1225651791"/>
        <c:crosses val="autoZero"/>
        <c:crossBetween val="between"/>
      </c:valAx>
      <c:valAx>
        <c:axId val="7215016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721498752"/>
        <c:crosses val="max"/>
        <c:crossBetween val="between"/>
      </c:valAx>
      <c:catAx>
        <c:axId val="721498752"/>
        <c:scaling>
          <c:orientation val="minMax"/>
        </c:scaling>
        <c:delete val="1"/>
        <c:axPos val="b"/>
        <c:numFmt formatCode="General" sourceLinked="1"/>
        <c:majorTickMark val="out"/>
        <c:minorTickMark val="none"/>
        <c:tickLblPos val="nextTo"/>
        <c:crossAx val="721501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255"/>
    </a:solidFill>
    <a:ln w="9525" cap="flat" cmpd="sng" algn="ctr">
      <a:solidFill>
        <a:schemeClr val="tx1">
          <a:lumMod val="15000"/>
          <a:lumOff val="85000"/>
        </a:schemeClr>
      </a:solidFill>
      <a:round/>
    </a:ln>
    <a:effectLst/>
  </c:spPr>
  <c:txPr>
    <a:bodyPr/>
    <a:lstStyle/>
    <a:p>
      <a:pPr>
        <a:defRPr sz="1050" b="1">
          <a:solidFill>
            <a:srgbClr val="07355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 ODC Data Analysis.xlsx]Calculations!PivotTable4</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rgbClr val="073559"/>
                </a:solidFill>
                <a:latin typeface="+mn-lt"/>
                <a:ea typeface="+mn-ea"/>
                <a:cs typeface="+mn-cs"/>
              </a:defRPr>
            </a:pPr>
            <a:r>
              <a:rPr lang="en-US" sz="1800"/>
              <a:t> Employee Distribution by Country</a:t>
            </a: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60" b="1" i="0" u="none" strike="noStrike" kern="1200" spc="0" baseline="0">
              <a:solidFill>
                <a:srgbClr val="07355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AB255"/>
          </a:solidFill>
          <a:ln w="19050">
            <a:solidFill>
              <a:schemeClr val="lt1"/>
            </a:solidFill>
          </a:ln>
          <a:effectLst/>
        </c:spPr>
      </c:pivotFmt>
      <c:pivotFmt>
        <c:idx val="2"/>
        <c:spPr>
          <a:solidFill>
            <a:srgbClr val="21848C"/>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6">
              <a:lumMod val="40000"/>
              <a:lumOff val="60000"/>
            </a:schemeClr>
          </a:solidFill>
          <a:ln w="19050">
            <a:solidFill>
              <a:schemeClr val="lt1"/>
            </a:solidFill>
          </a:ln>
          <a:effectLst/>
        </c:spPr>
      </c:pivotFmt>
      <c:pivotFmt>
        <c:idx val="7"/>
        <c:spPr>
          <a:solidFill>
            <a:srgbClr val="21848C"/>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DAB255"/>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7355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rgbClr val="21848C"/>
          </a:solidFill>
          <a:ln w="19050">
            <a:solidFill>
              <a:schemeClr val="lt1"/>
            </a:solidFill>
          </a:ln>
          <a:effectLst/>
        </c:spPr>
      </c:pivotFmt>
      <c:pivotFmt>
        <c:idx val="14"/>
        <c:spPr>
          <a:solidFill>
            <a:srgbClr val="073559"/>
          </a:solidFill>
          <a:ln w="19050">
            <a:solidFill>
              <a:schemeClr val="lt1"/>
            </a:solidFill>
          </a:ln>
          <a:effectLst/>
        </c:spPr>
      </c:pivotFmt>
      <c:pivotFmt>
        <c:idx val="15"/>
        <c:spPr>
          <a:solidFill>
            <a:srgbClr val="DAB255"/>
          </a:solidFill>
          <a:ln w="19050">
            <a:solidFill>
              <a:schemeClr val="lt1"/>
            </a:solidFill>
          </a:ln>
          <a:effectLst/>
        </c:spPr>
      </c:pivotFmt>
    </c:pivotFmts>
    <c:plotArea>
      <c:layout/>
      <c:doughnutChart>
        <c:varyColors val="1"/>
        <c:ser>
          <c:idx val="0"/>
          <c:order val="0"/>
          <c:tx>
            <c:strRef>
              <c:f>Calculations!$N$24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F6-4D3B-AA39-C4D2C2E324EB}"/>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82F6-4D3B-AA39-C4D2C2E324EB}"/>
              </c:ext>
            </c:extLst>
          </c:dPt>
          <c:dPt>
            <c:idx val="2"/>
            <c:bubble3D val="0"/>
            <c:spPr>
              <a:solidFill>
                <a:srgbClr val="21848C"/>
              </a:solidFill>
              <a:ln w="19050">
                <a:solidFill>
                  <a:schemeClr val="lt1"/>
                </a:solidFill>
              </a:ln>
              <a:effectLst/>
            </c:spPr>
            <c:extLst>
              <c:ext xmlns:c16="http://schemas.microsoft.com/office/drawing/2014/chart" uri="{C3380CC4-5D6E-409C-BE32-E72D297353CC}">
                <c16:uniqueId val="{00000005-82F6-4D3B-AA39-C4D2C2E324EB}"/>
              </c:ext>
            </c:extLst>
          </c:dPt>
          <c:dPt>
            <c:idx val="3"/>
            <c:bubble3D val="0"/>
            <c:spPr>
              <a:solidFill>
                <a:srgbClr val="073559"/>
              </a:solidFill>
              <a:ln w="19050">
                <a:solidFill>
                  <a:schemeClr val="lt1"/>
                </a:solidFill>
              </a:ln>
              <a:effectLst/>
            </c:spPr>
            <c:extLst>
              <c:ext xmlns:c16="http://schemas.microsoft.com/office/drawing/2014/chart" uri="{C3380CC4-5D6E-409C-BE32-E72D297353CC}">
                <c16:uniqueId val="{00000007-82F6-4D3B-AA39-C4D2C2E324EB}"/>
              </c:ext>
            </c:extLst>
          </c:dPt>
          <c:dPt>
            <c:idx val="4"/>
            <c:bubble3D val="0"/>
            <c:spPr>
              <a:solidFill>
                <a:srgbClr val="DAB255"/>
              </a:solidFill>
              <a:ln w="19050">
                <a:solidFill>
                  <a:schemeClr val="lt1"/>
                </a:solidFill>
              </a:ln>
              <a:effectLst/>
            </c:spPr>
            <c:extLst>
              <c:ext xmlns:c16="http://schemas.microsoft.com/office/drawing/2014/chart" uri="{C3380CC4-5D6E-409C-BE32-E72D297353CC}">
                <c16:uniqueId val="{00000009-82F6-4D3B-AA39-C4D2C2E324EB}"/>
              </c:ext>
            </c:extLst>
          </c:dPt>
          <c:cat>
            <c:strRef>
              <c:f>Calculations!$M$25:$M$30</c:f>
              <c:strCache>
                <c:ptCount val="5"/>
                <c:pt idx="0">
                  <c:v>Egypt</c:v>
                </c:pt>
                <c:pt idx="1">
                  <c:v>Lebanon</c:v>
                </c:pt>
                <c:pt idx="2">
                  <c:v>Saudi Arabia</c:v>
                </c:pt>
                <c:pt idx="3">
                  <c:v>Syria</c:v>
                </c:pt>
                <c:pt idx="4">
                  <c:v>United Arab Emirates</c:v>
                </c:pt>
              </c:strCache>
            </c:strRef>
          </c:cat>
          <c:val>
            <c:numRef>
              <c:f>Calculations!$N$25:$N$30</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B-B5D5-4BFA-9100-A4F85F5900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255"/>
    </a:solidFill>
    <a:ln w="9525" cap="flat" cmpd="sng" algn="ctr">
      <a:solidFill>
        <a:schemeClr val="tx1">
          <a:lumMod val="15000"/>
          <a:lumOff val="85000"/>
        </a:schemeClr>
      </a:solidFill>
      <a:round/>
    </a:ln>
    <a:effectLst/>
  </c:spPr>
  <c:txPr>
    <a:bodyPr/>
    <a:lstStyle/>
    <a:p>
      <a:pPr>
        <a:defRPr sz="1050" b="1">
          <a:solidFill>
            <a:srgbClr val="07355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 ODC Data Analysis.xlsx]Calculations!PivotTable5</c:name>
    <c:fmtId val="20"/>
  </c:pivotSource>
  <c:chart>
    <c:title>
      <c:tx>
        <c:rich>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r>
              <a:rPr lang="en-US" sz="1800" b="1" i="0" u="none" strike="noStrike" baseline="0"/>
              <a:t>Employees per Department</a:t>
            </a:r>
            <a:endParaRPr lang="en-US" sz="1800"/>
          </a:p>
        </c:rich>
      </c:tx>
      <c:overlay val="0"/>
      <c:spPr>
        <a:noFill/>
        <a:ln>
          <a:noFill/>
        </a:ln>
        <a:effectLst/>
      </c:spPr>
      <c:txPr>
        <a:bodyPr rot="0" spcFirstLastPara="1" vertOverflow="ellipsis" vert="horz" wrap="square" anchor="ctr" anchorCtr="1"/>
        <a:lstStyle/>
        <a:p>
          <a:pPr>
            <a:defRPr sz="1260" b="1" i="0" u="none" strike="noStrike" kern="1200" spc="0" baseline="0">
              <a:solidFill>
                <a:srgbClr val="0735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Calculations!$F$41:$F$61</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Calculations!$G$41:$G$61</c:f>
              <c:numCache>
                <c:formatCode>#,##0</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1-9DBB-4635-BCA2-1A96CC097A9D}"/>
            </c:ext>
          </c:extLst>
        </c:ser>
        <c:dLbls>
          <c:dLblPos val="outEnd"/>
          <c:showLegendKey val="0"/>
          <c:showVal val="1"/>
          <c:showCatName val="0"/>
          <c:showSerName val="0"/>
          <c:showPercent val="0"/>
          <c:showBubbleSize val="0"/>
        </c:dLbls>
        <c:gapWidth val="50"/>
        <c:axId val="739738016"/>
        <c:axId val="739740896"/>
      </c:barChart>
      <c:catAx>
        <c:axId val="73973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73559"/>
                </a:solidFill>
                <a:latin typeface="+mn-lt"/>
                <a:ea typeface="+mn-ea"/>
                <a:cs typeface="+mn-cs"/>
              </a:defRPr>
            </a:pPr>
            <a:endParaRPr lang="en-US"/>
          </a:p>
        </c:txPr>
        <c:crossAx val="739740896"/>
        <c:crosses val="autoZero"/>
        <c:auto val="1"/>
        <c:lblAlgn val="ctr"/>
        <c:lblOffset val="100"/>
        <c:noMultiLvlLbl val="0"/>
      </c:catAx>
      <c:valAx>
        <c:axId val="739740896"/>
        <c:scaling>
          <c:orientation val="minMax"/>
        </c:scaling>
        <c:delete val="1"/>
        <c:axPos val="b"/>
        <c:numFmt formatCode="#,##0" sourceLinked="1"/>
        <c:majorTickMark val="none"/>
        <c:minorTickMark val="none"/>
        <c:tickLblPos val="nextTo"/>
        <c:crossAx val="73973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B255"/>
    </a:solidFill>
    <a:ln w="9525" cap="flat" cmpd="sng" algn="ctr">
      <a:solidFill>
        <a:schemeClr val="tx1">
          <a:lumMod val="15000"/>
          <a:lumOff val="85000"/>
        </a:schemeClr>
      </a:solidFill>
      <a:round/>
    </a:ln>
    <a:effectLst/>
  </c:spPr>
  <c:txPr>
    <a:bodyPr/>
    <a:lstStyle/>
    <a:p>
      <a:pPr>
        <a:defRPr sz="1050" b="1">
          <a:solidFill>
            <a:srgbClr val="07355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455815</xdr:colOff>
      <xdr:row>28</xdr:row>
      <xdr:rowOff>88208</xdr:rowOff>
    </xdr:from>
    <xdr:to>
      <xdr:col>9</xdr:col>
      <xdr:colOff>425335</xdr:colOff>
      <xdr:row>47</xdr:row>
      <xdr:rowOff>126308</xdr:rowOff>
    </xdr:to>
    <xdr:graphicFrame macro="">
      <xdr:nvGraphicFramePr>
        <xdr:cNvPr id="2" name="Chart 1">
          <a:extLst>
            <a:ext uri="{FF2B5EF4-FFF2-40B4-BE49-F238E27FC236}">
              <a16:creationId xmlns:a16="http://schemas.microsoft.com/office/drawing/2014/main" id="{07128260-A127-41D0-A84B-5BD949818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576415</xdr:colOff>
      <xdr:row>28</xdr:row>
      <xdr:rowOff>84681</xdr:rowOff>
    </xdr:from>
    <xdr:to>
      <xdr:col>19</xdr:col>
      <xdr:colOff>596383</xdr:colOff>
      <xdr:row>47</xdr:row>
      <xdr:rowOff>77061</xdr:rowOff>
    </xdr:to>
    <xdr:graphicFrame macro="">
      <xdr:nvGraphicFramePr>
        <xdr:cNvPr id="3" name="Chart 2">
          <a:extLst>
            <a:ext uri="{FF2B5EF4-FFF2-40B4-BE49-F238E27FC236}">
              <a16:creationId xmlns:a16="http://schemas.microsoft.com/office/drawing/2014/main" id="{ADE46852-8F86-4B70-9425-5C5186246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231419</xdr:colOff>
      <xdr:row>0</xdr:row>
      <xdr:rowOff>0</xdr:rowOff>
    </xdr:from>
    <xdr:to>
      <xdr:col>18</xdr:col>
      <xdr:colOff>29795</xdr:colOff>
      <xdr:row>5</xdr:row>
      <xdr:rowOff>141514</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2BADD7B-67F6-62B8-0383-F48EF795DD6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46482" y="0"/>
              <a:ext cx="1621389" cy="1057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216036</xdr:colOff>
      <xdr:row>0</xdr:row>
      <xdr:rowOff>1</xdr:rowOff>
    </xdr:from>
    <xdr:to>
      <xdr:col>20</xdr:col>
      <xdr:colOff>440519</xdr:colOff>
      <xdr:row>5</xdr:row>
      <xdr:rowOff>119743</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B2AFB769-5E47-D86D-5CE6-D9380038B37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154112" y="1"/>
              <a:ext cx="1439825" cy="1036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403860</xdr:colOff>
      <xdr:row>0</xdr:row>
      <xdr:rowOff>0</xdr:rowOff>
    </xdr:from>
    <xdr:to>
      <xdr:col>14</xdr:col>
      <xdr:colOff>510540</xdr:colOff>
      <xdr:row>5</xdr:row>
      <xdr:rowOff>130628</xdr:rowOff>
    </xdr:to>
    <xdr:sp macro="" textlink="">
      <xdr:nvSpPr>
        <xdr:cNvPr id="9" name="TextBox 8">
          <a:extLst>
            <a:ext uri="{FF2B5EF4-FFF2-40B4-BE49-F238E27FC236}">
              <a16:creationId xmlns:a16="http://schemas.microsoft.com/office/drawing/2014/main" id="{805EF05D-7981-99A8-A32D-B3E410F056FE}"/>
            </a:ext>
          </a:extLst>
        </xdr:cNvPr>
        <xdr:cNvSpPr txBox="1"/>
      </xdr:nvSpPr>
      <xdr:spPr>
        <a:xfrm>
          <a:off x="3451860" y="0"/>
          <a:ext cx="5593080" cy="1055914"/>
        </a:xfrm>
        <a:prstGeom prst="rect">
          <a:avLst/>
        </a:prstGeom>
        <a:solidFill>
          <a:srgbClr val="DAB25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rgbClr val="073559"/>
              </a:solidFill>
              <a:latin typeface="+mj-lt"/>
            </a:rPr>
            <a:t>Employee Data Analysis </a:t>
          </a:r>
        </a:p>
        <a:p>
          <a:endParaRPr lang="en-US" sz="1100"/>
        </a:p>
      </xdr:txBody>
    </xdr:sp>
    <xdr:clientData/>
  </xdr:twoCellAnchor>
  <xdr:twoCellAnchor>
    <xdr:from>
      <xdr:col>1</xdr:col>
      <xdr:colOff>596131</xdr:colOff>
      <xdr:row>6</xdr:row>
      <xdr:rowOff>70069</xdr:rowOff>
    </xdr:from>
    <xdr:to>
      <xdr:col>4</xdr:col>
      <xdr:colOff>586827</xdr:colOff>
      <xdr:row>12</xdr:row>
      <xdr:rowOff>77345</xdr:rowOff>
    </xdr:to>
    <xdr:grpSp>
      <xdr:nvGrpSpPr>
        <xdr:cNvPr id="21" name="Group 20">
          <a:extLst>
            <a:ext uri="{FF2B5EF4-FFF2-40B4-BE49-F238E27FC236}">
              <a16:creationId xmlns:a16="http://schemas.microsoft.com/office/drawing/2014/main" id="{1DCA2B49-FDF0-5E04-22C0-ACFC780EC15F}"/>
            </a:ext>
          </a:extLst>
        </xdr:cNvPr>
        <xdr:cNvGrpSpPr/>
      </xdr:nvGrpSpPr>
      <xdr:grpSpPr>
        <a:xfrm>
          <a:off x="1203802" y="1169664"/>
          <a:ext cx="1813709" cy="1106871"/>
          <a:chOff x="821189" y="1219908"/>
          <a:chExt cx="1813433" cy="1134299"/>
        </a:xfrm>
      </xdr:grpSpPr>
      <xdr:sp macro="" textlink="Calculations!F27">
        <xdr:nvSpPr>
          <xdr:cNvPr id="6" name="Rectangle: Rounded Corners 5">
            <a:extLst>
              <a:ext uri="{FF2B5EF4-FFF2-40B4-BE49-F238E27FC236}">
                <a16:creationId xmlns:a16="http://schemas.microsoft.com/office/drawing/2014/main" id="{8EC17B2C-950D-F420-3D57-4782392211EE}"/>
              </a:ext>
            </a:extLst>
          </xdr:cNvPr>
          <xdr:cNvSpPr/>
        </xdr:nvSpPr>
        <xdr:spPr>
          <a:xfrm>
            <a:off x="821189" y="1250632"/>
            <a:ext cx="1806934" cy="1103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fld id="{55C6EDF2-6268-4726-9400-C857D29C5ADE}" type="TxLink">
              <a:rPr lang="en-US" sz="2800" b="1" i="0" u="none" strike="noStrike">
                <a:solidFill>
                  <a:schemeClr val="bg1"/>
                </a:solidFill>
                <a:latin typeface="Aptos Narrow"/>
              </a:rPr>
              <a:pPr algn="ctr" rtl="0"/>
              <a:t>689</a:t>
            </a:fld>
            <a:endParaRPr lang="en-US" sz="2800" b="1">
              <a:solidFill>
                <a:schemeClr val="bg1"/>
              </a:solidFill>
            </a:endParaRPr>
          </a:p>
        </xdr:txBody>
      </xdr:sp>
      <xdr:sp macro="" textlink="">
        <xdr:nvSpPr>
          <xdr:cNvPr id="13" name="TextBox 12">
            <a:extLst>
              <a:ext uri="{FF2B5EF4-FFF2-40B4-BE49-F238E27FC236}">
                <a16:creationId xmlns:a16="http://schemas.microsoft.com/office/drawing/2014/main" id="{0E293795-3EC8-A304-1823-01DFA86ABFB5}"/>
              </a:ext>
            </a:extLst>
          </xdr:cNvPr>
          <xdr:cNvSpPr txBox="1"/>
        </xdr:nvSpPr>
        <xdr:spPr>
          <a:xfrm>
            <a:off x="829328" y="1219908"/>
            <a:ext cx="1805294" cy="403925"/>
          </a:xfrm>
          <a:prstGeom prst="roundRect">
            <a:avLst>
              <a:gd name="adj" fmla="val 50000"/>
            </a:avLst>
          </a:prstGeom>
          <a:solidFill>
            <a:srgbClr val="DAB2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Employees</a:t>
            </a:r>
            <a:endParaRPr lang="en-US" sz="1600" b="1">
              <a:solidFill>
                <a:schemeClr val="bg1"/>
              </a:solidFill>
            </a:endParaRPr>
          </a:p>
        </xdr:txBody>
      </xdr:sp>
    </xdr:grpSp>
    <xdr:clientData/>
  </xdr:twoCellAnchor>
  <xdr:twoCellAnchor>
    <xdr:from>
      <xdr:col>6</xdr:col>
      <xdr:colOff>332827</xdr:colOff>
      <xdr:row>6</xdr:row>
      <xdr:rowOff>52553</xdr:rowOff>
    </xdr:from>
    <xdr:to>
      <xdr:col>9</xdr:col>
      <xdr:colOff>376621</xdr:colOff>
      <xdr:row>12</xdr:row>
      <xdr:rowOff>49527</xdr:rowOff>
    </xdr:to>
    <xdr:grpSp>
      <xdr:nvGrpSpPr>
        <xdr:cNvPr id="22" name="Group 21">
          <a:extLst>
            <a:ext uri="{FF2B5EF4-FFF2-40B4-BE49-F238E27FC236}">
              <a16:creationId xmlns:a16="http://schemas.microsoft.com/office/drawing/2014/main" id="{928D3A4B-042C-35B9-7C75-A5982977CC00}"/>
            </a:ext>
          </a:extLst>
        </xdr:cNvPr>
        <xdr:cNvGrpSpPr/>
      </xdr:nvGrpSpPr>
      <xdr:grpSpPr>
        <a:xfrm>
          <a:off x="3978852" y="1152148"/>
          <a:ext cx="1866807" cy="1096569"/>
          <a:chOff x="2850002" y="1239878"/>
          <a:chExt cx="1865917" cy="1123828"/>
        </a:xfrm>
      </xdr:grpSpPr>
      <xdr:sp macro="" textlink="Calculations!H24">
        <xdr:nvSpPr>
          <xdr:cNvPr id="7" name="Rectangle: Rounded Corners 6">
            <a:extLst>
              <a:ext uri="{FF2B5EF4-FFF2-40B4-BE49-F238E27FC236}">
                <a16:creationId xmlns:a16="http://schemas.microsoft.com/office/drawing/2014/main" id="{2048E1E4-8802-45C0-AFEB-30634B43DD93}"/>
              </a:ext>
            </a:extLst>
          </xdr:cNvPr>
          <xdr:cNvSpPr/>
        </xdr:nvSpPr>
        <xdr:spPr>
          <a:xfrm>
            <a:off x="2852359" y="1260131"/>
            <a:ext cx="1860274" cy="1103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rtl="0"/>
            <a:fld id="{859214AD-08A6-48EE-B706-B3FF683F781A}" type="TxLink">
              <a:rPr lang="en-US" sz="2000" b="1" i="0" u="none" strike="noStrike">
                <a:solidFill>
                  <a:schemeClr val="bg1"/>
                </a:solidFill>
                <a:latin typeface="Aptos Narrow"/>
                <a:ea typeface="+mn-ea"/>
                <a:cs typeface="+mn-cs"/>
              </a:rPr>
              <a:pPr marL="0" indent="0" algn="ctr" rtl="0"/>
              <a:t> 17,099,892.00 </a:t>
            </a:fld>
            <a:endParaRPr lang="en-US" sz="2000" b="1" i="0" u="none" strike="noStrike">
              <a:solidFill>
                <a:schemeClr val="bg1"/>
              </a:solidFill>
              <a:latin typeface="Aptos Narrow"/>
              <a:ea typeface="+mn-ea"/>
              <a:cs typeface="+mn-cs"/>
            </a:endParaRPr>
          </a:p>
        </xdr:txBody>
      </xdr:sp>
      <xdr:sp macro="" textlink="">
        <xdr:nvSpPr>
          <xdr:cNvPr id="15" name="TextBox 14">
            <a:extLst>
              <a:ext uri="{FF2B5EF4-FFF2-40B4-BE49-F238E27FC236}">
                <a16:creationId xmlns:a16="http://schemas.microsoft.com/office/drawing/2014/main" id="{D297929B-FE61-FE57-F746-EFADB4AFF893}"/>
              </a:ext>
            </a:extLst>
          </xdr:cNvPr>
          <xdr:cNvSpPr txBox="1"/>
        </xdr:nvSpPr>
        <xdr:spPr>
          <a:xfrm>
            <a:off x="2850002" y="1239878"/>
            <a:ext cx="1865917" cy="422055"/>
          </a:xfrm>
          <a:prstGeom prst="roundRect">
            <a:avLst>
              <a:gd name="adj" fmla="val 38774"/>
            </a:avLst>
          </a:prstGeom>
          <a:solidFill>
            <a:srgbClr val="DAB2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Payroll</a:t>
            </a:r>
            <a:endParaRPr lang="en-US" sz="1600" b="1">
              <a:solidFill>
                <a:schemeClr val="bg1"/>
              </a:solidFill>
            </a:endParaRPr>
          </a:p>
          <a:p>
            <a:endParaRPr lang="en-US" sz="1100"/>
          </a:p>
        </xdr:txBody>
      </xdr:sp>
    </xdr:grpSp>
    <xdr:clientData/>
  </xdr:twoCellAnchor>
  <xdr:twoCellAnchor>
    <xdr:from>
      <xdr:col>10</xdr:col>
      <xdr:colOff>560549</xdr:colOff>
      <xdr:row>6</xdr:row>
      <xdr:rowOff>52551</xdr:rowOff>
    </xdr:from>
    <xdr:to>
      <xdr:col>13</xdr:col>
      <xdr:colOff>613100</xdr:colOff>
      <xdr:row>12</xdr:row>
      <xdr:rowOff>72773</xdr:rowOff>
    </xdr:to>
    <xdr:grpSp>
      <xdr:nvGrpSpPr>
        <xdr:cNvPr id="23" name="Group 22">
          <a:extLst>
            <a:ext uri="{FF2B5EF4-FFF2-40B4-BE49-F238E27FC236}">
              <a16:creationId xmlns:a16="http://schemas.microsoft.com/office/drawing/2014/main" id="{CE0364B8-8B5F-21E6-2F7C-287C08252E82}"/>
            </a:ext>
          </a:extLst>
        </xdr:cNvPr>
        <xdr:cNvGrpSpPr/>
      </xdr:nvGrpSpPr>
      <xdr:grpSpPr>
        <a:xfrm>
          <a:off x="6637258" y="1152146"/>
          <a:ext cx="1875564" cy="1119817"/>
          <a:chOff x="5968202" y="1204082"/>
          <a:chExt cx="1874294" cy="1147075"/>
        </a:xfrm>
      </xdr:grpSpPr>
      <xdr:sp macro="" textlink="Calculations!H30">
        <xdr:nvSpPr>
          <xdr:cNvPr id="8" name="Rectangle: Rounded Corners 7">
            <a:extLst>
              <a:ext uri="{FF2B5EF4-FFF2-40B4-BE49-F238E27FC236}">
                <a16:creationId xmlns:a16="http://schemas.microsoft.com/office/drawing/2014/main" id="{D813BAC7-035D-41C5-BC37-25236F0047B7}"/>
              </a:ext>
            </a:extLst>
          </xdr:cNvPr>
          <xdr:cNvSpPr/>
        </xdr:nvSpPr>
        <xdr:spPr>
          <a:xfrm>
            <a:off x="6005996" y="1224722"/>
            <a:ext cx="1806934" cy="11264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rtl="0"/>
            <a:fld id="{2502FB7A-4DAE-4E89-9392-18F3A7662A02}" type="TxLink">
              <a:rPr lang="en-US" sz="2800" b="1" i="0" u="none" strike="noStrike">
                <a:solidFill>
                  <a:schemeClr val="bg1"/>
                </a:solidFill>
                <a:latin typeface="Aptos Narrow"/>
                <a:ea typeface="+mn-ea"/>
                <a:cs typeface="+mn-cs"/>
              </a:rPr>
              <a:pPr marL="0" indent="0" algn="ctr" rtl="0"/>
              <a:t>3.6</a:t>
            </a:fld>
            <a:endParaRPr lang="en-US" sz="2800" b="1" i="0" u="none" strike="noStrike">
              <a:solidFill>
                <a:schemeClr val="bg1"/>
              </a:solidFill>
              <a:latin typeface="Aptos Narrow"/>
              <a:ea typeface="+mn-ea"/>
              <a:cs typeface="+mn-cs"/>
            </a:endParaRPr>
          </a:p>
        </xdr:txBody>
      </xdr:sp>
      <xdr:sp macro="" textlink="">
        <xdr:nvSpPr>
          <xdr:cNvPr id="16" name="TextBox 15">
            <a:extLst>
              <a:ext uri="{FF2B5EF4-FFF2-40B4-BE49-F238E27FC236}">
                <a16:creationId xmlns:a16="http://schemas.microsoft.com/office/drawing/2014/main" id="{72F0852F-B2FC-B0AB-28AE-535C5708084B}"/>
              </a:ext>
            </a:extLst>
          </xdr:cNvPr>
          <xdr:cNvSpPr txBox="1"/>
        </xdr:nvSpPr>
        <xdr:spPr>
          <a:xfrm>
            <a:off x="5968202" y="1204082"/>
            <a:ext cx="1874294" cy="434992"/>
          </a:xfrm>
          <a:prstGeom prst="roundRect">
            <a:avLst>
              <a:gd name="adj" fmla="val 50000"/>
            </a:avLst>
          </a:prstGeom>
          <a:solidFill>
            <a:srgbClr val="DAB2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Average Jop</a:t>
            </a:r>
            <a:r>
              <a:rPr lang="en-US" sz="1600" b="1" baseline="0">
                <a:solidFill>
                  <a:schemeClr val="bg1"/>
                </a:solidFill>
              </a:rPr>
              <a:t> Rate</a:t>
            </a:r>
          </a:p>
          <a:p>
            <a:pPr algn="ctr"/>
            <a:endParaRPr lang="en-US" sz="1600" b="1">
              <a:solidFill>
                <a:schemeClr val="bg1"/>
              </a:solidFill>
            </a:endParaRPr>
          </a:p>
        </xdr:txBody>
      </xdr:sp>
    </xdr:grpSp>
    <xdr:clientData/>
  </xdr:twoCellAnchor>
  <xdr:twoCellAnchor editAs="oneCell">
    <xdr:from>
      <xdr:col>2</xdr:col>
      <xdr:colOff>3091</xdr:colOff>
      <xdr:row>0</xdr:row>
      <xdr:rowOff>17516</xdr:rowOff>
    </xdr:from>
    <xdr:to>
      <xdr:col>4</xdr:col>
      <xdr:colOff>324067</xdr:colOff>
      <xdr:row>5</xdr:row>
      <xdr:rowOff>157012</xdr:rowOff>
    </xdr:to>
    <xdr:pic>
      <xdr:nvPicPr>
        <xdr:cNvPr id="18" name="Picture 17">
          <a:extLst>
            <a:ext uri="{FF2B5EF4-FFF2-40B4-BE49-F238E27FC236}">
              <a16:creationId xmlns:a16="http://schemas.microsoft.com/office/drawing/2014/main" id="{BDE06EB6-5C1F-2F41-D205-7F96E0E93B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29298" y="17516"/>
          <a:ext cx="1547183" cy="1059151"/>
        </a:xfrm>
        <a:prstGeom prst="rect">
          <a:avLst/>
        </a:prstGeom>
      </xdr:spPr>
    </xdr:pic>
    <xdr:clientData/>
  </xdr:twoCellAnchor>
  <xdr:twoCellAnchor>
    <xdr:from>
      <xdr:col>10</xdr:col>
      <xdr:colOff>588817</xdr:colOff>
      <xdr:row>13</xdr:row>
      <xdr:rowOff>0</xdr:rowOff>
    </xdr:from>
    <xdr:to>
      <xdr:col>19</xdr:col>
      <xdr:colOff>577272</xdr:colOff>
      <xdr:row>27</xdr:row>
      <xdr:rowOff>157019</xdr:rowOff>
    </xdr:to>
    <xdr:graphicFrame macro="">
      <xdr:nvGraphicFramePr>
        <xdr:cNvPr id="19" name="Chart 18">
          <a:extLst>
            <a:ext uri="{FF2B5EF4-FFF2-40B4-BE49-F238E27FC236}">
              <a16:creationId xmlns:a16="http://schemas.microsoft.com/office/drawing/2014/main" id="{36209DB7-4490-4183-B31F-A16390A6C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577272</xdr:colOff>
      <xdr:row>12</xdr:row>
      <xdr:rowOff>161637</xdr:rowOff>
    </xdr:from>
    <xdr:to>
      <xdr:col>9</xdr:col>
      <xdr:colOff>381000</xdr:colOff>
      <xdr:row>27</xdr:row>
      <xdr:rowOff>133928</xdr:rowOff>
    </xdr:to>
    <xdr:graphicFrame macro="">
      <xdr:nvGraphicFramePr>
        <xdr:cNvPr id="20" name="Chart 19">
          <a:extLst>
            <a:ext uri="{FF2B5EF4-FFF2-40B4-BE49-F238E27FC236}">
              <a16:creationId xmlns:a16="http://schemas.microsoft.com/office/drawing/2014/main" id="{8582194B-B978-4AE9-9C7F-E3550A173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035387384261" backgroundQuery="1" createdVersion="8" refreshedVersion="8" minRefreshableVersion="3" recordCount="0" supportSubquery="1" supportAdvancedDrill="1" xr:uid="{6C24D1F8-F6F6-49EA-8333-502B944DE10B}">
  <cacheSource type="external" connectionId="4"/>
  <cacheFields count="3">
    <cacheField name="[Measures].[Total Employees]" caption="Total Employees" numFmtId="0" hierarchy="38" level="32767"/>
    <cacheField name="[Measures].[Total Annual Salary]" caption="Total Annual Salary" numFmtId="0" hierarchy="40" level="32767"/>
    <cacheField name="[Measures].[Average Job Rate]" caption="Average Job Rate" numFmtId="0" hierarchy="41" level="32767"/>
  </cacheFields>
  <cacheHierarchies count="51">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oneField="1">
      <fieldsUsage count="1">
        <fieldUsage x="0"/>
      </fieldsUsage>
    </cacheHierarchy>
    <cacheHierarchy uniqueName="[Measures].[Average Monthly Salary]" caption="Average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Average Job Rate]" caption="Average Job Rate" measure="1" displayFolder="" measureGroup="EmpTable" count="0" oneField="1">
      <fieldsUsage count="1">
        <fieldUsage x="2"/>
      </fieldsUsage>
    </cacheHierarchy>
    <cacheHierarchy uniqueName="[Measures].[Total Overtime Hours]" caption="Total Overtime Hours" measure="1" displayFolder="" measureGroup="EmpTable" count="0"/>
    <cacheHierarchy uniqueName="[Measures].[Total Sick Leaves]" caption="Total Sick Leaves" measure="1" displayFolder="" measureGroup="EmpTable" count="0"/>
    <cacheHierarchy uniqueName="[Measures].[Total Unpaid Leaves]" caption="Total Unpaid Leaves" measure="1" displayFolder="" measureGroup="EmpTable" count="0"/>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20"/>
        </ext>
      </extLst>
    </cacheHierarchy>
  </cacheHierarchies>
  <kpis count="0"/>
  <dimensions count="4">
    <dimension name="Employees" uniqueName="[Employees]" caption="Employees"/>
    <dimension name="EmpTable" uniqueName="[EmpTable]" caption="EmpTable"/>
    <dimension measure="1" name="Measures" uniqueName="[Measures]" caption="Measures"/>
    <dimension name="Sheet1" uniqueName="[Sheet1]" caption="Sheet1"/>
  </dimensions>
  <measureGroups count="3">
    <measureGroup name="Employees" caption="Employees"/>
    <measureGroup name="EmpTable" caption="EmpTable"/>
    <measureGroup name="Sheet1" caption="Sheet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781409027775" backgroundQuery="1" createdVersion="8" refreshedVersion="8" minRefreshableVersion="3" recordCount="0" supportSubquery="1" supportAdvancedDrill="1" xr:uid="{8B3B55EE-384E-40D7-81D8-0B7C26015C00}">
  <cacheSource type="external" connectionId="4"/>
  <cacheFields count="4">
    <cacheField name="[EmpTable].[Country].[Country]" caption="Country" numFmtId="0" hierarchy="22" level="1">
      <sharedItems count="5">
        <s v="Egypt"/>
        <s v="Lebanon"/>
        <s v="Saudi Arabia"/>
        <s v="Syria"/>
        <s v="United Arab Emirates"/>
      </sharedItems>
    </cacheField>
    <cacheField name="[Measures].[Total Overtime Hours]" caption="Total Overtime Hours" numFmtId="0" hierarchy="42" level="32767"/>
    <cacheField name="[Measures].[Total Sick Leaves]" caption="Total Sick Leaves" numFmtId="0" hierarchy="43" level="32767"/>
    <cacheField name="[Measures].[Total Unpaid Leaves]" caption="Total Unpaid Leaves" numFmtId="0" hierarchy="44" level="32767"/>
  </cacheFields>
  <cacheHierarchies count="51">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cacheHierarchy uniqueName="[Measures].[Average Monthly Salary]" caption="Average Monthly Salary" measure="1" displayFolder="" measureGroup="EmpTable" count="0"/>
    <cacheHierarchy uniqueName="[Measures].[Total Annual Salary]" caption="Total Annual Salary" measure="1" displayFolder="" measureGroup="EmpTable" count="0"/>
    <cacheHierarchy uniqueName="[Measures].[Average Job Rate]" caption="Average Job Rate" measure="1" displayFolder="" measureGroup="EmpTable" count="0"/>
    <cacheHierarchy uniqueName="[Measures].[Total Overtime Hours]" caption="Total Overtime Hours" measure="1" displayFolder="" measureGroup="EmpTable" count="0" oneField="1">
      <fieldsUsage count="1">
        <fieldUsage x="1"/>
      </fieldsUsage>
    </cacheHierarchy>
    <cacheHierarchy uniqueName="[Measures].[Total Sick Leaves]" caption="Total Sick Leaves" measure="1" displayFolder="" measureGroup="EmpTable" count="0" oneField="1">
      <fieldsUsage count="1">
        <fieldUsage x="2"/>
      </fieldsUsage>
    </cacheHierarchy>
    <cacheHierarchy uniqueName="[Measures].[Total Unpaid Leaves]" caption="Total Unpaid Leaves" measure="1" displayFolder="" measureGroup="EmpTable" count="0" oneField="1">
      <fieldsUsage count="1">
        <fieldUsage x="3"/>
      </fieldsUsage>
    </cacheHierarchy>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20"/>
        </ext>
      </extLst>
    </cacheHierarchy>
  </cacheHierarchies>
  <kpis count="0"/>
  <dimensions count="4">
    <dimension name="Employees" uniqueName="[Employees]" caption="Employees"/>
    <dimension name="EmpTable" uniqueName="[EmpTable]" caption="EmpTable"/>
    <dimension measure="1" name="Measures" uniqueName="[Measures]" caption="Measures"/>
    <dimension name="Sheet1" uniqueName="[Sheet1]" caption="Sheet1"/>
  </dimensions>
  <measureGroups count="3">
    <measureGroup name="Employees" caption="Employees"/>
    <measureGroup name="EmpTable" caption="EmpTable"/>
    <measureGroup name="Sheet1" caption="Sheet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781409606483" backgroundQuery="1" createdVersion="8" refreshedVersion="8" minRefreshableVersion="3" recordCount="0" supportSubquery="1" supportAdvancedDrill="1" xr:uid="{31491395-A7B9-44CF-9E87-60AD3299AE10}">
  <cacheSource type="external" connectionId="4"/>
  <cacheFields count="4">
    <cacheField name="[EmpTable].[Department].[Department]" caption="Department" numFmtId="0" hierarchy="21"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Annual Salary]" caption="Total Annual Salary" numFmtId="0" hierarchy="40" level="32767"/>
    <cacheField name="[Measures].[Average Job Rate]" caption="Average Job Rate" numFmtId="0" hierarchy="41" level="32767"/>
    <cacheField name="[EmpTable].[Country].[Country]" caption="Country" numFmtId="0" hierarchy="22" level="1">
      <sharedItems containsSemiMixedTypes="0" containsNonDate="0" containsString="0"/>
    </cacheField>
  </cacheFields>
  <cacheHierarchies count="51">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cacheHierarchy uniqueName="[Measures].[Average Monthly Salary]" caption="Average Monthly Salary" measure="1" displayFolder="" measureGroup="EmpTable" count="0"/>
    <cacheHierarchy uniqueName="[Measures].[Total Annual Salary]" caption="Total Annual Salary" measure="1" displayFolder="" measureGroup="EmpTable" count="0" oneField="1">
      <fieldsUsage count="1">
        <fieldUsage x="1"/>
      </fieldsUsage>
    </cacheHierarchy>
    <cacheHierarchy uniqueName="[Measures].[Average Job Rate]" caption="Average Job Rate" measure="1" displayFolder="" measureGroup="EmpTable" count="0" oneField="1">
      <fieldsUsage count="1">
        <fieldUsage x="2"/>
      </fieldsUsage>
    </cacheHierarchy>
    <cacheHierarchy uniqueName="[Measures].[Total Overtime Hours]" caption="Total Overtime Hours" measure="1" displayFolder="" measureGroup="EmpTable" count="0"/>
    <cacheHierarchy uniqueName="[Measures].[Total Sick Leaves]" caption="Total Sick Leaves" measure="1" displayFolder="" measureGroup="EmpTable" count="0"/>
    <cacheHierarchy uniqueName="[Measures].[Total Unpaid Leaves]" caption="Total Unpaid Leaves" measure="1" displayFolder="" measureGroup="EmpTable" count="0"/>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20"/>
        </ext>
      </extLst>
    </cacheHierarchy>
  </cacheHierarchies>
  <kpis count="0"/>
  <dimensions count="4">
    <dimension name="Employees" uniqueName="[Employees]" caption="Employees"/>
    <dimension name="EmpTable" uniqueName="[EmpTable]" caption="EmpTable"/>
    <dimension measure="1" name="Measures" uniqueName="[Measures]" caption="Measures"/>
    <dimension name="Sheet1" uniqueName="[Sheet1]" caption="Sheet1"/>
  </dimensions>
  <measureGroups count="3">
    <measureGroup name="Employees" caption="Employees"/>
    <measureGroup name="EmpTable" caption="EmpTable"/>
    <measureGroup name="Sheet1" caption="Sheet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781409953706" backgroundQuery="1" createdVersion="8" refreshedVersion="8" minRefreshableVersion="3" recordCount="0" supportSubquery="1" supportAdvancedDrill="1" xr:uid="{8E948C65-BF63-4011-AC3B-DC25DEF90EE2}">
  <cacheSource type="external" connectionId="4"/>
  <cacheFields count="2">
    <cacheField name="[EmpTable].[Country].[Country]" caption="Country" numFmtId="0" hierarchy="22" level="1">
      <sharedItems count="5">
        <s v="Egypt"/>
        <s v="Lebanon"/>
        <s v="Saudi Arabia"/>
        <s v="Syria"/>
        <s v="United Arab Emirates"/>
      </sharedItems>
    </cacheField>
    <cacheField name="[Measures].[Total Employees]" caption="Total Employees" numFmtId="0" hierarchy="38" level="32767"/>
  </cacheFields>
  <cacheHierarchies count="51">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oneField="1">
      <fieldsUsage count="1">
        <fieldUsage x="1"/>
      </fieldsUsage>
    </cacheHierarchy>
    <cacheHierarchy uniqueName="[Measures].[Average Monthly Salary]" caption="Average Monthly Salary" measure="1" displayFolder="" measureGroup="EmpTable" count="0"/>
    <cacheHierarchy uniqueName="[Measures].[Total Annual Salary]" caption="Total Annual Salary" measure="1" displayFolder="" measureGroup="EmpTable" count="0"/>
    <cacheHierarchy uniqueName="[Measures].[Average Job Rate]" caption="Average Job Rate" measure="1" displayFolder="" measureGroup="EmpTable" count="0"/>
    <cacheHierarchy uniqueName="[Measures].[Total Overtime Hours]" caption="Total Overtime Hours" measure="1" displayFolder="" measureGroup="EmpTable" count="0"/>
    <cacheHierarchy uniqueName="[Measures].[Total Sick Leaves]" caption="Total Sick Leaves" measure="1" displayFolder="" measureGroup="EmpTable" count="0"/>
    <cacheHierarchy uniqueName="[Measures].[Total Unpaid Leaves]" caption="Total Unpaid Leaves" measure="1" displayFolder="" measureGroup="EmpTable" count="0"/>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20"/>
        </ext>
      </extLst>
    </cacheHierarchy>
  </cacheHierarchies>
  <kpis count="0"/>
  <dimensions count="4">
    <dimension name="Employees" uniqueName="[Employees]" caption="Employees"/>
    <dimension name="EmpTable" uniqueName="[EmpTable]" caption="EmpTable"/>
    <dimension measure="1" name="Measures" uniqueName="[Measures]" caption="Measures"/>
    <dimension name="Sheet1" uniqueName="[Sheet1]" caption="Sheet1"/>
  </dimensions>
  <measureGroups count="3">
    <measureGroup name="Employees" caption="Employees"/>
    <measureGroup name="EmpTable" caption="EmpTable"/>
    <measureGroup name="Sheet1" caption="Sheet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781410416668" backgroundQuery="1" createdVersion="8" refreshedVersion="8" minRefreshableVersion="3" recordCount="0" supportSubquery="1" supportAdvancedDrill="1" xr:uid="{1D2B7DD3-9C66-4AD5-88E8-F28C84699DF6}">
  <cacheSource type="external" connectionId="4"/>
  <cacheFields count="3">
    <cacheField name="[EmpTable].[Department].[Department]" caption="Department" numFmtId="0" hierarchy="21"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Total Employees]" caption="Total Employees" numFmtId="0" hierarchy="38" level="32767"/>
    <cacheField name="[EmpTable].[Country].[Country]" caption="Country" numFmtId="0" hierarchy="22" level="1">
      <sharedItems containsSemiMixedTypes="0" containsNonDate="0" containsString="0"/>
    </cacheField>
  </cacheFields>
  <cacheHierarchies count="51">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oneField="1">
      <fieldsUsage count="1">
        <fieldUsage x="1"/>
      </fieldsUsage>
    </cacheHierarchy>
    <cacheHierarchy uniqueName="[Measures].[Average Monthly Salary]" caption="Average Monthly Salary" measure="1" displayFolder="" measureGroup="EmpTable" count="0"/>
    <cacheHierarchy uniqueName="[Measures].[Total Annual Salary]" caption="Total Annual Salary" measure="1" displayFolder="" measureGroup="EmpTable" count="0"/>
    <cacheHierarchy uniqueName="[Measures].[Average Job Rate]" caption="Average Job Rate" measure="1" displayFolder="" measureGroup="EmpTable" count="0"/>
    <cacheHierarchy uniqueName="[Measures].[Total Overtime Hours]" caption="Total Overtime Hours" measure="1" displayFolder="" measureGroup="EmpTable" count="0"/>
    <cacheHierarchy uniqueName="[Measures].[Total Sick Leaves]" caption="Total Sick Leaves" measure="1" displayFolder="" measureGroup="EmpTable" count="0"/>
    <cacheHierarchy uniqueName="[Measures].[Total Unpaid Leaves]" caption="Total Unpaid Leaves" measure="1" displayFolder="" measureGroup="EmpTable" count="0"/>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20"/>
        </ext>
      </extLst>
    </cacheHierarchy>
  </cacheHierarchies>
  <kpis count="0"/>
  <dimensions count="4">
    <dimension name="Employees" uniqueName="[Employees]" caption="Employees"/>
    <dimension name="EmpTable" uniqueName="[EmpTable]" caption="EmpTable"/>
    <dimension measure="1" name="Measures" uniqueName="[Measures]" caption="Measures"/>
    <dimension name="Sheet1" uniqueName="[Sheet1]" caption="Sheet1"/>
  </dimensions>
  <measureGroups count="3">
    <measureGroup name="Employees" caption="Employees"/>
    <measureGroup name="EmpTable" caption="EmpTable"/>
    <measureGroup name="Sheet1" caption="Sheet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ayed" refreshedDate="46198.033315509259" backgroundQuery="1" createdVersion="3" refreshedVersion="8" minRefreshableVersion="3" recordCount="0" supportSubquery="1" supportAdvancedDrill="1" xr:uid="{99B920F5-267E-427E-8325-044D0A8742FA}">
  <cacheSource type="external" connectionId="4">
    <extLst>
      <ext xmlns:x14="http://schemas.microsoft.com/office/spreadsheetml/2009/9/main" uri="{F057638F-6D5F-4e77-A914-E7F072B9BCA8}">
        <x14:sourceConnection name="ThisWorkbookDataModel"/>
      </ext>
    </extLst>
  </cacheSource>
  <cacheFields count="0"/>
  <cacheHierarchies count="50">
    <cacheHierarchy uniqueName="[Employees].[No]" caption="No" attribute="1" defaultMemberUniqueName="[Employees].[No].[All]" allUniqueName="[Employees].[No].[All]" dimensionUniqueName="[Employees]" displayFolder="" count="0" memberValueDatatype="20" unbalanced="0"/>
    <cacheHierarchy uniqueName="[Employees].[First Name]" caption="First Name" attribute="1" defaultMemberUniqueName="[Employees].[First Name].[All]" allUniqueName="[Employees].[First Name].[All]" dimensionUniqueName="[Employees]" displayFolder="" count="0" memberValueDatatype="130" unbalanced="0"/>
    <cacheHierarchy uniqueName="[Employees].[Last Name]" caption="Last Name" attribute="1" defaultMemberUniqueName="[Employees].[Last Name].[All]" allUniqueName="[Employees].[Last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Experience Level]" caption="Experience Level" attribute="1" defaultMemberUniqueName="[EmpTable].[Experience Level].[All]" allUniqueName="[EmpTable].[Experience Level].[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Overtime Status]" caption="Overtime Status" attribute="1" defaultMemberUniqueName="[EmpTable].[Overtime Status].[All]" allUniqueName="[EmpTable].[Overtime Status].[All]" dimensionUniqueName="[EmpTable]" displayFolder="" count="0" memberValueDatatype="130" unbalanced="0"/>
    <cacheHierarchy uniqueName="[EmpTable].[Leaves Status]" caption="Leaves Status" attribute="1" defaultMemberUniqueName="[EmpTable].[Leaves Status].[All]" allUniqueName="[EmpTable].[Leaves Status].[All]" dimensionUniqueName="[EmpTable]" displayFolder="" count="0" memberValueDatatype="130" unbalanced="0"/>
    <cacheHierarchy uniqueName="[Sheet1].[Column1]" caption="Column1" attribute="1" defaultMemberUniqueName="[Sheet1].[Column1].[All]" allUniqueName="[Sheet1].[Column1].[All]" dimensionUniqueName="[Sheet1]" displayFolder="" count="0" memberValueDatatype="130" unbalanced="0"/>
    <cacheHierarchy uniqueName="[Measures].[Total Employees]" caption="Total Employees" measure="1" displayFolder="" measureGroup="EmpTable" count="0"/>
    <cacheHierarchy uniqueName="[Measures].[Average Monthly Salary]" caption="Average Monthly Salary" measure="1" displayFolder="" measureGroup="EmpTable" count="0"/>
    <cacheHierarchy uniqueName="[Measures].[Total Annual Salary]" caption="Total Annual Salary" measure="1" displayFolder="" measureGroup="EmpTable" count="0"/>
    <cacheHierarchy uniqueName="[Measures].[Average Job Rate]" caption="Average Job Rate" measure="1" displayFolder="" measureGroup="EmpTable" count="0"/>
    <cacheHierarchy uniqueName="[Measures].[Total Overtime Hours]" caption="Total Overtime Hours" measure="1" displayFolder="" measureGroup="EmpTable" count="0"/>
    <cacheHierarchy uniqueName="[Measures].[Total Sick Leaves]" caption="Total Sick Leaves" measure="1" displayFolder="" measureGroup="EmpTable" count="0"/>
    <cacheHierarchy uniqueName="[Measures].[Total Unpaid Leaves]" caption="Total Unpaid Leaves" measure="1" displayFolder="" measureGroup="EmpTable" count="0"/>
    <cacheHierarchy uniqueName="[Measures].[__XL_Count EmpTable]" caption="__XL_Count EmpTable" measure="1" displayFolder="" measureGroup="EmpTable" count="0" hidden="1"/>
    <cacheHierarchy uniqueName="[Measures].[__XL_Count Employees]" caption="__XL_Count Employees" measure="1" displayFolder="" measureGroup="Employee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Leaves]" caption="Sum of Total Leaves" measure="1" displayFolder="" measureGroup="EmpTable"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6128244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8BC73-5893-4A39-9E19-4810CA6732A4}" name="PivotTable2" cacheId="44" applyNumberFormats="0" applyBorderFormats="0" applyFontFormats="0" applyPatternFormats="0" applyAlignmentFormats="0" applyWidthHeightFormats="1" dataCaption="Values" tag="bb8d4485-5f4a-4048-8b8f-a2811b668f45" updatedVersion="8" minRefreshableVersion="3" useAutoFormatting="1" subtotalHiddenItems="1" itemPrintTitles="1" createdVersion="8" indent="0" outline="1" outlineData="1" multipleFieldFilters="0" chartFormat="9">
  <location ref="F13:I1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1A8AF-A5C3-4003-9C6A-AD830E0EA835}" name="PivotTable1" cacheId="47" applyNumberFormats="0" applyBorderFormats="0" applyFontFormats="0" applyPatternFormats="0" applyAlignmentFormats="0" applyWidthHeightFormats="1" dataCaption="Values" tag="b68d74df-9e66-40f4-9f99-41f2e5d02914" updatedVersion="8" minRefreshableVersion="3" useAutoFormatting="1" subtotalHiddenItems="1" itemPrintTitles="1" createdVersion="8" indent="0" outline="1" outlineData="1" multipleFieldFilters="0" chartFormat="10">
  <location ref="A1:C22" firstHeaderRow="0" firstDataRow="1"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fld="1" subtotal="count" baseField="0" baseItem="0"/>
    <dataField fld="2" subtotal="count" baseField="0" baseItem="0"/>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7AAC3C-8FA6-47D4-95DB-15FF9E79B281}" name="PivotTable5" cacheId="53" applyNumberFormats="0" applyBorderFormats="0" applyFontFormats="0" applyPatternFormats="0" applyAlignmentFormats="0" applyWidthHeightFormats="1" dataCaption="Values" tag="b96a5d11-1c48-42ea-9b86-391ca3669d2b" updatedVersion="8" minRefreshableVersion="3" useAutoFormatting="1" subtotalHiddenItems="1" itemPrintTitles="1" createdVersion="8" indent="0" outline="1" outlineData="1" multipleFieldFilters="0" chartFormat="25">
  <location ref="F40:G61"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D598A7-9535-41B9-8C88-3EF2BD778DA1}" name="PivotTable4" cacheId="50" applyNumberFormats="0" applyBorderFormats="0" applyFontFormats="0" applyPatternFormats="0" applyAlignmentFormats="0" applyWidthHeightFormats="1" dataCaption="Values" tag="ff6e9bb8-2843-4ec0-9b5c-548fd2261c58" updatedVersion="8" minRefreshableVersion="3" useAutoFormatting="1" subtotalHiddenItems="1" itemPrintTitles="1" createdVersion="8" indent="0" outline="1" outlineData="1" multipleFieldFilters="0" chartFormat="17">
  <location ref="M24:N30" firstHeaderRow="1" firstDataRow="1" firstDataCol="1"/>
  <pivotFields count="2">
    <pivotField axis="axisRow" allDrilled="1" subtotalTop="0" showAll="0"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6">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0" count="1" selected="0">
            <x v="0"/>
          </reference>
        </references>
      </pivotArea>
    </chartFormat>
    <chartFormat chart="16" format="12">
      <pivotArea type="data" outline="0" fieldPosition="0">
        <references count="2">
          <reference field="4294967294" count="1" selected="0">
            <x v="0"/>
          </reference>
          <reference field="0" count="1" selected="0">
            <x v="1"/>
          </reference>
        </references>
      </pivotArea>
    </chartFormat>
    <chartFormat chart="16" format="13">
      <pivotArea type="data" outline="0" fieldPosition="0">
        <references count="2">
          <reference field="4294967294" count="1" selected="0">
            <x v="0"/>
          </reference>
          <reference field="0" count="1" selected="0">
            <x v="2"/>
          </reference>
        </references>
      </pivotArea>
    </chartFormat>
    <chartFormat chart="16" format="14">
      <pivotArea type="data" outline="0" fieldPosition="0">
        <references count="2">
          <reference field="4294967294" count="1" selected="0">
            <x v="0"/>
          </reference>
          <reference field="0" count="1" selected="0">
            <x v="3"/>
          </reference>
        </references>
      </pivotArea>
    </chartFormat>
    <chartFormat chart="16" format="15">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1F703F-6021-416D-9BC2-3F216AA5988B}" name="PivotTable3" cacheId="0" applyNumberFormats="0" applyBorderFormats="0" applyFontFormats="0" applyPatternFormats="0" applyAlignmentFormats="0" applyWidthHeightFormats="1" dataCaption="Values" tag="7395ae2b-d865-4f21-adcf-2059c4dcc086" updatedVersion="8" minRefreshableVersion="3" itemPrintTitles="1" createdVersion="8" indent="0" outline="1" outlineData="1" multipleFieldFilters="0">
  <location ref="G8:I9"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FCC5021-7BD4-4550-9D07-313FE0B4CBAE}" sourceName="[EmpTable].[Country]">
  <pivotTables>
    <pivotTable tabId="3" name="PivotTable2"/>
    <pivotTable tabId="3" name="PivotTable1"/>
    <pivotTable tabId="3" name="PivotTable4"/>
    <pivotTable tabId="3" name="PivotTable5"/>
  </pivotTables>
  <data>
    <olap pivotCacheId="612824487">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C7F5BA3-E38A-49FA-A05C-79B2FC781F13}" sourceName="[EmpTable].[Department]">
  <pivotTables>
    <pivotTable tabId="3" name="PivotTable2"/>
    <pivotTable tabId="3" name="PivotTable1"/>
    <pivotTable tabId="3" name="PivotTable4"/>
    <pivotTable tabId="3" name="PivotTable5"/>
  </pivotTables>
  <data>
    <olap pivotCacheId="612824487">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DDCCB28-B7AE-452F-867B-BCFD88D056A7}" cache="Slicer_Country" caption="Country" level="1" style="my logo slicer" rowHeight="247650"/>
  <slicer name="Department" xr10:uid="{41ADE56F-C72D-4212-8D27-26E452B198D3}" cache="Slicer_Department" caption="Department" startItem="13" level="1" style="my logo 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91B5-F594-46D9-8F72-632A91265518}">
  <dimension ref="A1"/>
  <sheetViews>
    <sheetView showGridLines="0" tabSelected="1" zoomScale="79" workbookViewId="0">
      <selection activeCell="V22" sqref="V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FF4F-A035-430F-AFDE-C0C239C67499}">
  <dimension ref="A1:N61"/>
  <sheetViews>
    <sheetView topLeftCell="B1" workbookViewId="0">
      <selection activeCell="L50" sqref="L50"/>
    </sheetView>
  </sheetViews>
  <sheetFormatPr defaultRowHeight="14.4" x14ac:dyDescent="0.3"/>
  <cols>
    <col min="1" max="1" width="24" bestFit="1" customWidth="1"/>
    <col min="2" max="2" width="16.77734375" bestFit="1" customWidth="1"/>
    <col min="3" max="3" width="14.88671875" bestFit="1" customWidth="1"/>
    <col min="6" max="6" width="24" bestFit="1" customWidth="1"/>
    <col min="7" max="7" width="14.6640625" bestFit="1" customWidth="1"/>
    <col min="8" max="8" width="15.21875" bestFit="1" customWidth="1"/>
    <col min="9" max="9" width="17.6640625" bestFit="1" customWidth="1"/>
    <col min="13" max="13" width="18" bestFit="1" customWidth="1"/>
    <col min="14" max="14" width="14.6640625" bestFit="1" customWidth="1"/>
    <col min="15" max="15" width="14.88671875" bestFit="1" customWidth="1"/>
  </cols>
  <sheetData>
    <row r="1" spans="1:9" x14ac:dyDescent="0.3">
      <c r="A1" s="1" t="s">
        <v>0</v>
      </c>
      <c r="B1" t="s">
        <v>22</v>
      </c>
      <c r="C1" t="s">
        <v>23</v>
      </c>
    </row>
    <row r="2" spans="1:9" x14ac:dyDescent="0.3">
      <c r="A2" s="2" t="s">
        <v>1</v>
      </c>
      <c r="B2" s="3">
        <v>1952664</v>
      </c>
      <c r="C2" s="4">
        <v>3.6904761904761907</v>
      </c>
    </row>
    <row r="3" spans="1:9" x14ac:dyDescent="0.3">
      <c r="A3" s="2" t="s">
        <v>2</v>
      </c>
      <c r="B3" s="3">
        <v>458580</v>
      </c>
      <c r="C3" s="4">
        <v>3.7894736842105261</v>
      </c>
    </row>
    <row r="4" spans="1:9" x14ac:dyDescent="0.3">
      <c r="A4" s="2" t="s">
        <v>3</v>
      </c>
      <c r="B4" s="3">
        <v>391272</v>
      </c>
      <c r="C4" s="4">
        <v>3.0769230769230771</v>
      </c>
    </row>
    <row r="5" spans="1:9" x14ac:dyDescent="0.3">
      <c r="A5" s="2" t="s">
        <v>4</v>
      </c>
      <c r="B5" s="3">
        <v>216048</v>
      </c>
      <c r="C5" s="4">
        <v>4.2222222222222223</v>
      </c>
    </row>
    <row r="6" spans="1:9" x14ac:dyDescent="0.3">
      <c r="A6" s="2" t="s">
        <v>5</v>
      </c>
      <c r="B6" s="3">
        <v>1590552</v>
      </c>
      <c r="C6" s="4">
        <v>3.6206896551724137</v>
      </c>
    </row>
    <row r="7" spans="1:9" x14ac:dyDescent="0.3">
      <c r="A7" s="2" t="s">
        <v>6</v>
      </c>
      <c r="B7" s="3">
        <v>199956</v>
      </c>
      <c r="C7" s="4">
        <v>2.875</v>
      </c>
    </row>
    <row r="8" spans="1:9" x14ac:dyDescent="0.3">
      <c r="A8" s="2" t="s">
        <v>7</v>
      </c>
      <c r="B8" s="3">
        <v>214692</v>
      </c>
      <c r="C8" s="4">
        <v>4.3571428571428568</v>
      </c>
      <c r="G8" t="s">
        <v>32</v>
      </c>
      <c r="H8" t="s">
        <v>22</v>
      </c>
      <c r="I8" t="s">
        <v>23</v>
      </c>
    </row>
    <row r="9" spans="1:9" x14ac:dyDescent="0.3">
      <c r="A9" s="2" t="s">
        <v>8</v>
      </c>
      <c r="B9" s="3">
        <v>1014972</v>
      </c>
      <c r="C9" s="4">
        <v>3.6</v>
      </c>
      <c r="G9" s="6">
        <v>689</v>
      </c>
      <c r="H9" s="3">
        <v>17099892</v>
      </c>
      <c r="I9" s="4">
        <v>3.5863570391872277</v>
      </c>
    </row>
    <row r="10" spans="1:9" x14ac:dyDescent="0.3">
      <c r="A10" s="2" t="s">
        <v>9</v>
      </c>
      <c r="B10" s="3">
        <v>215268</v>
      </c>
      <c r="C10" s="4">
        <v>4.25</v>
      </c>
    </row>
    <row r="11" spans="1:9" x14ac:dyDescent="0.3">
      <c r="A11" s="2" t="s">
        <v>10</v>
      </c>
      <c r="B11" s="3">
        <v>3367788</v>
      </c>
      <c r="C11" s="4">
        <v>3.5357142857142856</v>
      </c>
    </row>
    <row r="12" spans="1:9" x14ac:dyDescent="0.3">
      <c r="A12" s="2" t="s">
        <v>11</v>
      </c>
      <c r="B12" s="3">
        <v>115260</v>
      </c>
      <c r="C12" s="4">
        <v>4.0999999999999996</v>
      </c>
    </row>
    <row r="13" spans="1:9" x14ac:dyDescent="0.3">
      <c r="A13" s="2" t="s">
        <v>12</v>
      </c>
      <c r="B13" s="3">
        <v>1187208</v>
      </c>
      <c r="C13" s="4">
        <v>3.4270833333333335</v>
      </c>
      <c r="F13" s="1" t="s">
        <v>0</v>
      </c>
      <c r="G13" t="s">
        <v>29</v>
      </c>
      <c r="H13" t="s">
        <v>30</v>
      </c>
      <c r="I13" t="s">
        <v>31</v>
      </c>
    </row>
    <row r="14" spans="1:9" x14ac:dyDescent="0.3">
      <c r="A14" s="2" t="s">
        <v>13</v>
      </c>
      <c r="B14" s="3">
        <v>801600</v>
      </c>
      <c r="C14" s="4">
        <v>3.4852941176470589</v>
      </c>
      <c r="F14" s="2" t="s">
        <v>24</v>
      </c>
      <c r="G14" s="5">
        <v>5662</v>
      </c>
      <c r="H14" s="5">
        <v>615</v>
      </c>
      <c r="I14" s="5">
        <v>293</v>
      </c>
    </row>
    <row r="15" spans="1:9" x14ac:dyDescent="0.3">
      <c r="A15" s="2" t="s">
        <v>14</v>
      </c>
      <c r="B15" s="3">
        <v>342792</v>
      </c>
      <c r="C15" s="4">
        <v>3.7857142857142856</v>
      </c>
      <c r="F15" s="2" t="s">
        <v>25</v>
      </c>
      <c r="G15" s="5">
        <v>171</v>
      </c>
      <c r="H15" s="5">
        <v>11</v>
      </c>
      <c r="I15" s="5">
        <v>16</v>
      </c>
    </row>
    <row r="16" spans="1:9" x14ac:dyDescent="0.3">
      <c r="A16" s="2" t="s">
        <v>15</v>
      </c>
      <c r="B16" s="3">
        <v>1675476</v>
      </c>
      <c r="C16" s="4">
        <v>3.5746268656716418</v>
      </c>
      <c r="F16" s="2" t="s">
        <v>26</v>
      </c>
      <c r="G16" s="5">
        <v>1732</v>
      </c>
      <c r="H16" s="5">
        <v>128</v>
      </c>
      <c r="I16" s="5">
        <v>63</v>
      </c>
    </row>
    <row r="17" spans="1:14" x14ac:dyDescent="0.3">
      <c r="A17" s="2" t="s">
        <v>16</v>
      </c>
      <c r="B17" s="3">
        <v>2193624</v>
      </c>
      <c r="C17" s="4">
        <v>3.7640449438202248</v>
      </c>
      <c r="F17" s="2" t="s">
        <v>27</v>
      </c>
      <c r="G17" s="5">
        <v>496</v>
      </c>
      <c r="H17" s="5">
        <v>113</v>
      </c>
      <c r="I17" s="5">
        <v>21</v>
      </c>
    </row>
    <row r="18" spans="1:14" x14ac:dyDescent="0.3">
      <c r="A18" s="2" t="s">
        <v>17</v>
      </c>
      <c r="B18" s="3">
        <v>113220</v>
      </c>
      <c r="C18" s="4">
        <v>3.3</v>
      </c>
      <c r="F18" s="2" t="s">
        <v>28</v>
      </c>
      <c r="G18" s="5">
        <v>1380</v>
      </c>
      <c r="H18" s="5">
        <v>242</v>
      </c>
      <c r="I18" s="5">
        <v>130</v>
      </c>
    </row>
    <row r="19" spans="1:14" x14ac:dyDescent="0.3">
      <c r="A19" s="2" t="s">
        <v>18</v>
      </c>
      <c r="B19" s="3">
        <v>125916</v>
      </c>
      <c r="C19" s="4">
        <v>3</v>
      </c>
      <c r="F19" s="2" t="s">
        <v>21</v>
      </c>
      <c r="G19" s="5">
        <v>9441</v>
      </c>
      <c r="H19" s="5">
        <v>1109</v>
      </c>
      <c r="I19" s="5">
        <v>523</v>
      </c>
    </row>
    <row r="20" spans="1:14" x14ac:dyDescent="0.3">
      <c r="A20" s="2" t="s">
        <v>19</v>
      </c>
      <c r="B20" s="3">
        <v>469548</v>
      </c>
      <c r="C20" s="4">
        <v>3.2749999999999999</v>
      </c>
    </row>
    <row r="21" spans="1:14" x14ac:dyDescent="0.3">
      <c r="A21" s="2" t="s">
        <v>20</v>
      </c>
      <c r="B21" s="3">
        <v>453456</v>
      </c>
      <c r="C21" s="4">
        <v>2.90625</v>
      </c>
    </row>
    <row r="22" spans="1:14" x14ac:dyDescent="0.3">
      <c r="A22" s="2" t="s">
        <v>21</v>
      </c>
      <c r="B22" s="3">
        <v>17099892</v>
      </c>
      <c r="C22" s="4">
        <v>3.5863570391872277</v>
      </c>
    </row>
    <row r="24" spans="1:14" x14ac:dyDescent="0.3">
      <c r="H24" s="7">
        <f>GETPIVOTDATA("[Measures].[Total Annual Salary]",$G$8)</f>
        <v>17099892</v>
      </c>
      <c r="M24" s="1" t="s">
        <v>0</v>
      </c>
      <c r="N24" t="s">
        <v>32</v>
      </c>
    </row>
    <row r="25" spans="1:14" x14ac:dyDescent="0.3">
      <c r="M25" s="2" t="s">
        <v>24</v>
      </c>
      <c r="N25" s="6">
        <v>379</v>
      </c>
    </row>
    <row r="26" spans="1:14" x14ac:dyDescent="0.3">
      <c r="M26" s="2" t="s">
        <v>25</v>
      </c>
      <c r="N26" s="6">
        <v>11</v>
      </c>
    </row>
    <row r="27" spans="1:14" x14ac:dyDescent="0.3">
      <c r="F27">
        <f>GETPIVOTDATA("[Measures].[Total Employees]",$G$8)</f>
        <v>689</v>
      </c>
      <c r="M27" s="2" t="s">
        <v>26</v>
      </c>
      <c r="N27" s="6">
        <v>90</v>
      </c>
    </row>
    <row r="28" spans="1:14" x14ac:dyDescent="0.3">
      <c r="M28" s="2" t="s">
        <v>27</v>
      </c>
      <c r="N28" s="6">
        <v>53</v>
      </c>
    </row>
    <row r="29" spans="1:14" x14ac:dyDescent="0.3">
      <c r="M29" s="2" t="s">
        <v>28</v>
      </c>
      <c r="N29" s="6">
        <v>156</v>
      </c>
    </row>
    <row r="30" spans="1:14" x14ac:dyDescent="0.3">
      <c r="H30" s="4">
        <f>GETPIVOTDATA("[Measures].[Average Job Rate]",$G$8)</f>
        <v>3.5863570391872277</v>
      </c>
      <c r="M30" s="2" t="s">
        <v>21</v>
      </c>
      <c r="N30" s="6">
        <v>689</v>
      </c>
    </row>
    <row r="40" spans="6:7" x14ac:dyDescent="0.3">
      <c r="F40" s="1" t="s">
        <v>0</v>
      </c>
      <c r="G40" t="s">
        <v>32</v>
      </c>
    </row>
    <row r="41" spans="6:7" x14ac:dyDescent="0.3">
      <c r="F41" s="2" t="s">
        <v>1</v>
      </c>
      <c r="G41" s="6">
        <v>84</v>
      </c>
    </row>
    <row r="42" spans="6:7" x14ac:dyDescent="0.3">
      <c r="F42" s="2" t="s">
        <v>2</v>
      </c>
      <c r="G42" s="6">
        <v>19</v>
      </c>
    </row>
    <row r="43" spans="6:7" x14ac:dyDescent="0.3">
      <c r="F43" s="2" t="s">
        <v>3</v>
      </c>
      <c r="G43" s="6">
        <v>13</v>
      </c>
    </row>
    <row r="44" spans="6:7" x14ac:dyDescent="0.3">
      <c r="F44" s="2" t="s">
        <v>4</v>
      </c>
      <c r="G44" s="6">
        <v>9</v>
      </c>
    </row>
    <row r="45" spans="6:7" x14ac:dyDescent="0.3">
      <c r="F45" s="2" t="s">
        <v>5</v>
      </c>
      <c r="G45" s="6">
        <v>58</v>
      </c>
    </row>
    <row r="46" spans="6:7" x14ac:dyDescent="0.3">
      <c r="F46" s="2" t="s">
        <v>6</v>
      </c>
      <c r="G46" s="6">
        <v>8</v>
      </c>
    </row>
    <row r="47" spans="6:7" x14ac:dyDescent="0.3">
      <c r="F47" s="2" t="s">
        <v>7</v>
      </c>
      <c r="G47" s="6">
        <v>7</v>
      </c>
    </row>
    <row r="48" spans="6:7" x14ac:dyDescent="0.3">
      <c r="F48" s="2" t="s">
        <v>8</v>
      </c>
      <c r="G48" s="6">
        <v>40</v>
      </c>
    </row>
    <row r="49" spans="6:7" x14ac:dyDescent="0.3">
      <c r="F49" s="2" t="s">
        <v>9</v>
      </c>
      <c r="G49" s="6">
        <v>8</v>
      </c>
    </row>
    <row r="50" spans="6:7" x14ac:dyDescent="0.3">
      <c r="F50" s="2" t="s">
        <v>10</v>
      </c>
      <c r="G50" s="6">
        <v>140</v>
      </c>
    </row>
    <row r="51" spans="6:7" x14ac:dyDescent="0.3">
      <c r="F51" s="2" t="s">
        <v>11</v>
      </c>
      <c r="G51" s="6">
        <v>5</v>
      </c>
    </row>
    <row r="52" spans="6:7" x14ac:dyDescent="0.3">
      <c r="F52" s="2" t="s">
        <v>12</v>
      </c>
      <c r="G52" s="6">
        <v>48</v>
      </c>
    </row>
    <row r="53" spans="6:7" x14ac:dyDescent="0.3">
      <c r="F53" s="2" t="s">
        <v>13</v>
      </c>
      <c r="G53" s="6">
        <v>34</v>
      </c>
    </row>
    <row r="54" spans="6:7" x14ac:dyDescent="0.3">
      <c r="F54" s="2" t="s">
        <v>14</v>
      </c>
      <c r="G54" s="6">
        <v>14</v>
      </c>
    </row>
    <row r="55" spans="6:7" x14ac:dyDescent="0.3">
      <c r="F55" s="2" t="s">
        <v>15</v>
      </c>
      <c r="G55" s="6">
        <v>67</v>
      </c>
    </row>
    <row r="56" spans="6:7" x14ac:dyDescent="0.3">
      <c r="F56" s="2" t="s">
        <v>16</v>
      </c>
      <c r="G56" s="6">
        <v>89</v>
      </c>
    </row>
    <row r="57" spans="6:7" x14ac:dyDescent="0.3">
      <c r="F57" s="2" t="s">
        <v>17</v>
      </c>
      <c r="G57" s="6">
        <v>5</v>
      </c>
    </row>
    <row r="58" spans="6:7" x14ac:dyDescent="0.3">
      <c r="F58" s="2" t="s">
        <v>18</v>
      </c>
      <c r="G58" s="6">
        <v>5</v>
      </c>
    </row>
    <row r="59" spans="6:7" x14ac:dyDescent="0.3">
      <c r="F59" s="2" t="s">
        <v>19</v>
      </c>
      <c r="G59" s="6">
        <v>20</v>
      </c>
    </row>
    <row r="60" spans="6:7" x14ac:dyDescent="0.3">
      <c r="F60" s="2" t="s">
        <v>20</v>
      </c>
      <c r="G60" s="6">
        <v>16</v>
      </c>
    </row>
    <row r="61" spans="6:7" x14ac:dyDescent="0.3">
      <c r="F61" s="2" t="s">
        <v>21</v>
      </c>
      <c r="G61" s="6">
        <v>689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xml version="1.0" encoding="utf-8"?>
<ct:contentTypeSchema xmlns:ct="http://schemas.microsoft.com/office/2006/metadata/contentType" xmlns:ma="http://schemas.microsoft.com/office/2006/metadata/properties/metaAttributes" ct:_="" ma:_="" ma:contentTypeName="Document" ma:contentTypeID="0x010100F4BF0F544B959843956B9AF242ABC3B1" ma:contentTypeVersion="4" ma:contentTypeDescription="Create a new document." ma:contentTypeScope="" ma:versionID="df5d4a3fec79160774653c12ccd26d90">
  <xsd:schema xmlns:xsd="http://www.w3.org/2001/XMLSchema" xmlns:xs="http://www.w3.org/2001/XMLSchema" xmlns:p="http://schemas.microsoft.com/office/2006/metadata/properties" xmlns:ns3="c0b77a87-1700-452f-a44d-ba842159b8be" targetNamespace="http://schemas.microsoft.com/office/2006/metadata/properties" ma:root="true" ma:fieldsID="10173ea10a7cd351026e6eade13c3747" ns3:_="">
    <xsd:import namespace="c0b77a87-1700-452f-a44d-ba842159b8b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b77a87-1700-452f-a44d-ba842159b8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_activity xmlns="c0b77a87-1700-452f-a44d-ba842159b8be" xsi:nil="true"/>
  </documentManagement>
</p:properties>
</file>

<file path=customXml/item15.xml>��
</file>

<file path=customXml/itemProps1.xml><?xml version="1.0" encoding="utf-8"?>
<ds:datastoreItem xmlns:ds="http://schemas.openxmlformats.org/officeDocument/2006/customXml" ds:itemID="{24FB736A-57DC-4122-9996-D487DEEF168F}">
  <ds:schemaRefs/>
</ds:datastoreItem>
</file>

<file path=customXml/itemProps2.xml><?xml version="1.0" encoding="utf-8"?>
<ds:datastoreItem xmlns:ds="http://schemas.openxmlformats.org/officeDocument/2006/customXml" ds:itemID="{CE50BE71-2392-4AAF-9214-E82EA96BC11B}">
  <ds:schemaRefs/>
</ds:datastoreItem>
</file>

<file path=customXml/itemProps3.xml><?xml version="1.0" encoding="utf-8"?>
<ds:datastoreItem xmlns:ds="http://schemas.openxmlformats.org/officeDocument/2006/customXml" ds:itemID="{BCEE7F1C-5D31-4B9E-ABCA-707111CA603F}">
  <ds:schemaRefs/>
</ds:datastoreItem>
</file>

<file path=customXml/itemProps4.xml><?xml version="1.0" encoding="utf-8"?>
<ds:datastoreItem xmlns:ds="http://schemas.openxmlformats.org/officeDocument/2006/customXml" ds:itemID="{C637145B-288F-46DC-88AE-CDD240240658}">
  <ds:schemaRefs/>
</ds:datastoreItem>
</file>

<file path=customXml/itemProps5.xml><?xml version="1.0" encoding="utf-8"?>
<ds:datastoreItem xmlns:ds="http://schemas.openxmlformats.org/officeDocument/2006/customXml" ds:itemID="{E29BB8A9-6CEA-455C-BA8B-0914D4529B1F}">
  <ds:schemaRefs/>
</ds:datastoreItem>
</file>

<file path=customXml/itemProps6.xml><?xml version="1.0" encoding="utf-8"?>
<ds:datastoreItem xmlns:ds="http://schemas.openxmlformats.org/officeDocument/2006/customXml" ds:itemID="{FAE1C0FB-D535-4654-9D64-AFBF042B7C28}">
  <ds:schemaRefs/>
</ds:datastoreItem>
</file>

<file path=customXml/itemProps7.xml><?xml version="1.0" encoding="utf-8"?>
<ds:datastoreItem xmlns:ds="http://schemas.openxmlformats.org/officeDocument/2006/customXml" ds:itemID="{2B45C92B-4E4B-4255-81A8-57C05739434B}">
  <ds:schemaRefs/>
</ds:datastoreItem>
</file>

<file path=customXml/itemProps8.xml><?xml version="1.0" encoding="utf-8"?>
<ds:datastoreItem xmlns:ds="http://schemas.openxmlformats.org/officeDocument/2006/customXml" ds:itemID="{C5C2606A-2223-4CB2-827D-37FD74536991}">
  <ds:schemaRefs/>
</ds:datastoreItem>
</file>

<file path=customXml/itemProps9.xml><?xml version="1.0" encoding="utf-8"?>
<ds:datastoreItem xmlns:ds="http://schemas.openxmlformats.org/officeDocument/2006/customXml" ds:itemID="{C1CB0CEE-5262-40D9-A4DE-786573FC8571}">
  <ds:schemaRefs/>
</ds:datastoreItem>
</file>

<file path=customXml/itemProps10.xml><?xml version="1.0" encoding="utf-8"?>
<ds:datastoreItem xmlns:ds="http://schemas.openxmlformats.org/officeDocument/2006/customXml" ds:itemID="{8AB04E01-D86F-4040-91C2-48F3EDEC9F4B}">
  <ds:schemaRefs>
    <ds:schemaRef ds:uri="http://schemas.microsoft.com/sharepoint/v3/contenttype/forms"/>
  </ds:schemaRefs>
</ds:datastoreItem>
</file>

<file path=customXml/itemProps11.xml><?xml version="1.0" encoding="utf-8"?>
<ds:datastoreItem xmlns:ds="http://schemas.openxmlformats.org/officeDocument/2006/customXml" ds:itemID="{84BD2041-1A84-447C-8202-700893279E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b77a87-1700-452f-a44d-ba842159b8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50803C58-A474-4353-A11A-10E107B1796A}">
  <ds:schemaRefs/>
</ds:datastoreItem>
</file>

<file path=customXml/itemProps13.xml><?xml version="1.0" encoding="utf-8"?>
<ds:datastoreItem xmlns:ds="http://schemas.openxmlformats.org/officeDocument/2006/customXml" ds:itemID="{C8B37E8A-ECF3-4D04-8622-AD1691D6F1E5}">
  <ds:schemaRefs/>
</ds:datastoreItem>
</file>

<file path=customXml/itemProps14.xml><?xml version="1.0" encoding="utf-8"?>
<ds:datastoreItem xmlns:ds="http://schemas.openxmlformats.org/officeDocument/2006/customXml" ds:itemID="{EFC7C44F-B911-4C0B-9A45-910CD5A066ED}">
  <ds:schemaRefs>
    <ds:schemaRef ds:uri="http://schemas.microsoft.com/office/2006/documentManagement/types"/>
    <ds:schemaRef ds:uri="c0b77a87-1700-452f-a44d-ba842159b8be"/>
    <ds:schemaRef ds:uri="http://purl.org/dc/dcmitype/"/>
    <ds:schemaRef ds:uri="http://schemas.microsoft.com/office/infopath/2007/PartnerControls"/>
    <ds:schemaRef ds:uri="http://schemas.microsoft.com/office/2006/metadata/properties"/>
    <ds:schemaRef ds:uri="http://purl.org/dc/elements/1.1/"/>
    <ds:schemaRef ds:uri="http://purl.org/dc/terms/"/>
    <ds:schemaRef ds:uri="http://schemas.openxmlformats.org/package/2006/metadata/core-properties"/>
    <ds:schemaRef ds:uri="http://www.w3.org/XML/1998/namespace"/>
  </ds:schemaRefs>
</ds:datastoreItem>
</file>

<file path=customXml/itemProps15.xml><?xml version="1.0" encoding="utf-8"?>
<ds:datastoreItem xmlns:ds="http://schemas.openxmlformats.org/officeDocument/2006/customXml" ds:itemID="{464DFA51-24CD-4436-BB90-FDD2CDA630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سيد سالم خليل عبدالرحمن</dc:creator>
  <cp:lastModifiedBy>احمد سيد سالم خليل عبدالرحمن</cp:lastModifiedBy>
  <dcterms:created xsi:type="dcterms:W3CDTF">2026-06-24T20:33:37Z</dcterms:created>
  <dcterms:modified xsi:type="dcterms:W3CDTF">2026-06-25T15:45:31Z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0x010100F4BF0F544B959843956B9AF242ABC3B1</vt:lpwstr>
  </property>
</Properties>
</file>